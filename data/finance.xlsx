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730C3D7B-58C4-4F50-8D32-14C92560ECA1}" xr6:coauthVersionLast="47" xr6:coauthVersionMax="47" xr10:uidLastSave="{00000000-0000-0000-0000-000000000000}"/>
  <bookViews>
    <workbookView xWindow="-108" yWindow="-108" windowWidth="23256" windowHeight="12456" tabRatio="855" firstSheet="3" activeTab="3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Income engine" sheetId="6" r:id="rId9"/>
    <sheet name="Carrer Tracker" sheetId="7" r:id="rId10"/>
    <sheet name="Interview Prep" sheetId="8" r:id="rId11"/>
    <sheet name="Lists" sheetId="3" r:id="rId12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<sst xmlns="http://schemas.openxmlformats.org/spreadsheetml/2006/main" count="314" uniqueCount="231">
  <si>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</si>
  <si>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</si>
  <si>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</si>
  <si>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</si>
  <si>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</si>
  <si>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</si>
  <si>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</si>
  <si>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</si>
  <si>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</si>
  <si>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</si>
  <si>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</si>
  <si>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</si>
  <si>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</si>
  <si>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</si>
  <si>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</si>
  <si>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</si>
  <si>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</si>
  <si>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</si>
  <si>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</si>
  <si>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</si>
  <si>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</si>
  <si>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</si>
  <si>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</si>
  <si>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</si>
  <si>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</si>
  <si>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</si>
  <si>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</si>
  <si>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</si>
  <si>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</si>
  <si>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</si>
  <si>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</si>
  <si>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</si>
  <si>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</si>
  <si>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</si>
  <si>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</si>
  <si>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</si>
  <si>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</si>
  <si>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</si>
  <si>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</si>
  <si>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</si>
  <si>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</si>
  <si>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</si>
  <si>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</si>
  <si>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</si>
  <si>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</si>
  <si>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</si>
  <si>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</si>
  <si>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</si>
  <si>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</si>
  <si>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</si>
  <si>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</si>
  <si>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</si>
  <si>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</si>
  <si>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</si>
  <si>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</si>
  <si>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</si>
  <si>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</si>
  <si>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</si>
  <si>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</si>
  <si>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</si>
  <si>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</si>
  <si>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</si>
  <si>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</si>
  <si>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</si>
  <si>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</si>
  <si>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</si>
  <si>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</si>
  <si>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</si>
  <si>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</si>
  <si>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</si>
  <si>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</si>
  <si>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</si>
  <si>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</si>
  <si>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</si>
  <si>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</si>
  <si>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</si>
  <si>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</si>
  <si>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</si>
  <si>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</si>
  <si>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</si>
  <si>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</si>
  <si>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</si>
  <si>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</si>
  <si>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</si>
  <si>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</si>
  <si>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</si>
  <si>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</si>
  <si>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</si>
  <si>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</si>
  <si>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</si>
  <si>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</si>
  <si>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</si>
  <si>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</si>
  <si>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</si>
  <si>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</si>
  <si>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</si>
  <si>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</si>
  <si>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</si>
  <si>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</si>
  <si>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</si>
  <si>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</si>
  <si>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</si>
  <si>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</si>
  <si>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</si>
  <si>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</si>
  <si>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</si>
  <si>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</si>
  <si>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</si>
  <si>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</si>
  <si>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</si>
  <si>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</si>
  <si>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</si>
  <si>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</si>
  <si>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</si>
  <si>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</si>
  <si>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</si>
  <si>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</si>
  <si>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</si>
  <si>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</si>
  <si>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</si>
  <si>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</si>
  <si>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</si>
  <si>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</si>
  <si>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</si>
  <si>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</si>
  <si>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</si>
  <si>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</si>
  <si>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</si>
  <si>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</si>
  <si>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</si>
  <si>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</si>
  <si>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</si>
  <si>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</si>
  <si>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</si>
  <si>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</si>
  <si>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</si>
  <si>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</si>
  <si>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</si>
  <si>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</si>
  <si>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</si>
  <si>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</si>
  <si>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</si>
  <si>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</si>
  <si>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</si>
  <si>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</si>
  <si>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</si>
  <si>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</si>
  <si>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</si>
  <si>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</si>
  <si>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</si>
  <si>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</si>
  <si>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</si>
  <si>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</si>
  <si>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</si>
  <si>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</si>
  <si>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</si>
  <si>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</si>
  <si>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</si>
  <si>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</si>
  <si>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</si>
  <si>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</si>
  <si>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</si>
  <si>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</si>
  <si>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</si>
  <si>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</si>
  <si>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</si>
  <si>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</si>
  <si>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</si>
  <si>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</si>
  <si>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</si>
  <si>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</si>
  <si>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</si>
  <si>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</si>
  <si>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</si>
  <si>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</si>
  <si>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</si>
  <si>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</si>
  <si>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</si>
  <si>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</si>
  <si>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</si>
  <si>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</si>
  <si>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</si>
  <si>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</si>
  <si>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</si>
  <si>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</si>
  <si>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</si>
  <si>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</si>
  <si>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</si>
  <si>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</si>
  <si>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</si>
  <si>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</si>
  <si>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</si>
  <si>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</si>
  <si>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</si>
  <si>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</si>
  <si>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</si>
  <si>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</si>
  <si>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</si>
  <si>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</si>
  <si>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</si>
  <si>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</si>
  <si>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</si>
  <si>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</si>
  <si>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</si>
  <si>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</si>
  <si>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</si>
  <si>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</si>
  <si>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</si>
  <si>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</si>
  <si>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</si>
  <si>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</si>
  <si>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</si>
  <si>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</si>
  <si>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</si>
  <si>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</si>
  <si>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</si>
  <si>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</si>
  <si>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</si>
  <si>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</si>
  <si>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rapido</t>
  </si>
  <si>
    <t>breakfast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</si>
  <si>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</si>
  <si>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</si>
  <si>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</si>
  <si>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</si>
  <si>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</si>
  <si>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</si>
  <si>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</si>
  <si>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</si>
  <si>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Bajaj (Chacha Ji)</t>
  </si>
  <si>
    <t>Laptop 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</si>
</sst>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&quot;₹&quot;\ #,##0.00"/>
    </dxf>
    <dxf>
      <numFmt numFmtId="19" formatCode="dd/mm/yyyy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21" tableBorderDxfId="20">
  <autoFilter ref="A1:H1048576" xr:uid="{42D67FA3-A40A-4607-BCB9-468A9ECB0007}"/>
  <tableColumns count="8">
    <tableColumn id="1" xr3:uid="{1D37F906-33D7-46E6-8270-56D5EEA80EC7}" name="Date" dataDxfId="19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18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17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6" totalsRowShown="0">
  <autoFilter ref="A1:K46" xr:uid="{1AFBBFA5-5EA2-4DA5-91C7-5EE90985F084}"/>
  <tableColumns count="11">
    <tableColumn id="1" xr3:uid="{C10697DD-F282-4D7F-A12A-9BFC6193DC4E}" name="Start Date " dataDxfId="7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6"/>
    <tableColumn id="5" xr3:uid="{C982624C-E448-4958-A5CE-7D794FC142FA}" name="Repaid" dataDxfId="5"/>
    <tableColumn id="6" xr3:uid="{665D5056-3744-4E56-95C7-F0943FD35707}" name="Remaining" dataDxfId="4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2"/>
    <tableColumn id="12" xr3:uid="{2EEE087F-37EF-44B3-8405-6F6CCBE4BDEB}" name="End Dat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6" dataDxfId="15">
  <autoFilter ref="A1:G4" xr:uid="{7C5D4057-F5F1-485E-AE6E-34A855BB81C8}"/>
  <tableColumns count="7">
    <tableColumn id="1" xr3:uid="{85417279-B333-4129-826F-4B13A464B0A1}" name="Date" dataDxfId="14"/>
    <tableColumn id="2" xr3:uid="{72151722-7F6E-43AF-AADF-05A0452D151E}" name="Source" dataDxfId="13"/>
    <tableColumn id="3" xr3:uid="{A9F1D760-964B-4BC4-876E-FE2B218C85B6}" name="Category" dataDxfId="12"/>
    <tableColumn id="4" xr3:uid="{31C0BCAE-AC93-4345-9B1C-546CE0735A6B}" name="Amount" dataDxfId="11"/>
    <tableColumn id="5" xr3:uid="{C6E99480-C881-404B-8F25-E2549BD2CCCD}" name="Status" dataDxfId="10"/>
    <tableColumn id="7" xr3:uid="{29AC2CCC-8D50-4D4F-9049-D5CBB08CDAB6}" name="Recurring" dataDxfId="9"/>
    <tableColumn id="6" xr3:uid="{4D5A0A55-4298-4332-9A93-683CDAE35676}" name="Notes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29" t="s">
        <v>0</v>
      </c>
      <c r="B1" s="29"/>
      <c r="C1" s="29"/>
      <c r="D1" s="29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217</v>
      </c>
      <c r="E2" s="23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219</v>
      </c>
      <c r="E3" s="24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219</v>
      </c>
      <c r="E4" s="23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220</v>
      </c>
      <c r="E5" s="24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3"/>
      <c r="F6" s="11"/>
      <c r="G6" s="11"/>
      <c r="H6" s="11"/>
    </row>
    <row r="7" spans="1:8" x14ac:dyDescent="0.3">
      <c r="A7" s="12"/>
      <c r="B7" s="13"/>
      <c r="C7" s="13"/>
      <c r="D7" s="13"/>
      <c r="E7" s="24"/>
      <c r="F7" s="13"/>
      <c r="G7" s="13"/>
      <c r="H7" s="13"/>
    </row>
    <row r="8" spans="1:8" x14ac:dyDescent="0.3">
      <c r="A8" s="10"/>
      <c r="B8" s="11"/>
      <c r="C8" s="11"/>
      <c r="D8" s="11"/>
      <c r="E8" s="23"/>
      <c r="F8" s="11"/>
      <c r="G8" s="11"/>
      <c r="H8" s="11"/>
    </row>
    <row r="9" spans="1:8" x14ac:dyDescent="0.3">
      <c r="A9" s="12"/>
      <c r="B9" s="13"/>
      <c r="C9" s="13"/>
      <c r="D9" s="13"/>
      <c r="E9" s="24"/>
      <c r="F9" s="13"/>
      <c r="G9" s="13"/>
      <c r="H9" s="13"/>
    </row>
    <row r="10" spans="1:8" x14ac:dyDescent="0.3">
      <c r="A10" s="10"/>
      <c r="B10" s="11"/>
      <c r="C10" s="11"/>
      <c r="D10" s="11"/>
      <c r="E10" s="23"/>
      <c r="F10" s="11"/>
      <c r="G10" s="11"/>
      <c r="H10" s="11"/>
    </row>
    <row r="11" spans="1:8" x14ac:dyDescent="0.3">
      <c r="A11" s="12"/>
      <c r="B11" s="13"/>
      <c r="C11" s="13"/>
      <c r="D11" s="13"/>
      <c r="E11" s="24"/>
      <c r="F11" s="13"/>
      <c r="G11" s="13"/>
      <c r="H11" s="13"/>
    </row>
    <row r="12" spans="1:8" x14ac:dyDescent="0.3">
      <c r="A12" s="10"/>
      <c r="B12" s="11"/>
      <c r="C12" s="11"/>
      <c r="D12" s="11"/>
      <c r="E12" s="23"/>
      <c r="F12" s="11"/>
      <c r="G12" s="11"/>
      <c r="H12" s="11"/>
    </row>
    <row r="13" spans="1:8" x14ac:dyDescent="0.3">
      <c r="A13" s="12"/>
      <c r="B13" s="13"/>
      <c r="C13" s="13"/>
      <c r="D13" s="13"/>
      <c r="E13" s="24"/>
      <c r="F13" s="13"/>
      <c r="G13" s="13"/>
      <c r="H13" s="13"/>
    </row>
    <row r="14" spans="1:8" x14ac:dyDescent="0.3">
      <c r="A14" s="10"/>
      <c r="B14" s="11"/>
      <c r="C14" s="11"/>
      <c r="D14" s="11"/>
      <c r="E14" s="23"/>
      <c r="F14" s="11"/>
      <c r="G14" s="11"/>
      <c r="H14" s="11"/>
    </row>
    <row r="15" spans="1:8" x14ac:dyDescent="0.3">
      <c r="A15" s="12"/>
      <c r="B15" s="13"/>
      <c r="C15" s="13"/>
      <c r="D15" s="13"/>
      <c r="E15" s="24"/>
      <c r="F15" s="13"/>
      <c r="G15" s="13"/>
      <c r="H15" s="13"/>
    </row>
    <row r="16" spans="1:8" x14ac:dyDescent="0.3">
      <c r="A16" s="10"/>
      <c r="B16" s="11"/>
      <c r="C16" s="11"/>
      <c r="D16" s="11"/>
      <c r="E16" s="23"/>
      <c r="F16" s="11"/>
      <c r="G16" s="11"/>
      <c r="H16" s="11"/>
    </row>
    <row r="17" spans="1:8" x14ac:dyDescent="0.3">
      <c r="A17" s="12"/>
      <c r="B17" s="13"/>
      <c r="C17" s="13"/>
      <c r="D17" s="13"/>
      <c r="E17" s="24"/>
      <c r="F17" s="13"/>
      <c r="G17" s="13"/>
      <c r="H17" s="13"/>
    </row>
    <row r="18" spans="1:8" x14ac:dyDescent="0.3">
      <c r="A18" s="10"/>
      <c r="B18" s="11"/>
      <c r="C18" s="11"/>
      <c r="D18" s="11"/>
      <c r="E18" s="23"/>
      <c r="F18" s="11"/>
      <c r="G18" s="11"/>
      <c r="H18" s="11"/>
    </row>
    <row r="19" spans="1:8" x14ac:dyDescent="0.3">
      <c r="A19" s="12"/>
      <c r="B19" s="13"/>
      <c r="C19" s="13"/>
      <c r="D19" s="13"/>
      <c r="E19" s="24"/>
      <c r="F19" s="13"/>
      <c r="G19" s="13"/>
      <c r="H19" s="13"/>
    </row>
    <row r="20" spans="1:8" x14ac:dyDescent="0.3">
      <c r="A20" s="10"/>
      <c r="B20" s="11"/>
      <c r="C20" s="11"/>
      <c r="D20" s="11"/>
      <c r="E20" s="23"/>
      <c r="F20" s="11"/>
      <c r="G20" s="11"/>
      <c r="H20" s="11"/>
    </row>
    <row r="21" spans="1:8" x14ac:dyDescent="0.3">
      <c r="A21" s="12"/>
      <c r="B21" s="13"/>
      <c r="C21" s="13"/>
      <c r="D21" s="13"/>
      <c r="E21" s="24"/>
      <c r="F21" s="13"/>
      <c r="G21" s="13"/>
      <c r="H21" s="13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B2" sqref="B2"/>
    </sheetView>
  </sheetViews>
  <sheetFormatPr defaultRowHeight="14.4" x14ac:dyDescent="0.3"/>
  <cols>
    <col min="1" max="1" width="15.21875" customWidth="1"/>
    <col min="3" max="3" width="15.21875" customWidth="1"/>
  </cols>
  <sheetData>
    <row r="1" spans="1:3" x14ac:dyDescent="0.3">
      <c r="A1" t="s">
        <v>52</v>
      </c>
      <c r="B1" t="s">
        <v>78</v>
      </c>
      <c r="C1" t="s">
        <v>221</v>
      </c>
    </row>
    <row r="2" spans="1:3" x14ac:dyDescent="0.3">
      <c r="A2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2"/>
  <sheetViews>
    <sheetView tabSelected="1" workbookViewId="0">
      <selection activeCell="P13" sqref="P13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227</v>
      </c>
      <c r="B1" t="s">
        <v>192</v>
      </c>
      <c r="C1" t="s">
        <v>66</v>
      </c>
      <c r="D1" s="21" t="s">
        <v>225</v>
      </c>
      <c r="E1" s="21" t="s">
        <v>193</v>
      </c>
      <c r="F1" s="21" t="s">
        <v>194</v>
      </c>
      <c r="G1" t="s">
        <v>195</v>
      </c>
      <c r="H1" t="s">
        <v>130</v>
      </c>
      <c r="I1" t="s">
        <v>222</v>
      </c>
      <c r="J1" s="21" t="s">
        <v>226</v>
      </c>
      <c r="K1" s="28" t="s">
        <v>228</v>
      </c>
    </row>
    <row r="2" spans="1:11" x14ac:dyDescent="0.3">
      <c r="A2" s="28">
        <v>46197</v>
      </c>
      <c r="B2" t="s">
        <v>229</v>
      </c>
      <c r="C2" t="s">
        <v>6</v>
      </c>
      <c r="D2" s="21">
        <v>86000</v>
      </c>
      <c r="E2" s="21">
        <v>0</v>
      </c>
      <c r="F2" s="21">
        <v>86000</v>
      </c>
      <c r="G2" s="28">
        <v>46235</v>
      </c>
      <c r="H2" t="s">
        <v>197</v>
      </c>
      <c r="I2" t="s">
        <v>230</v>
      </c>
      <c r="J2" s="21">
        <v>8600</v>
      </c>
      <c r="K2" s="28">
        <v>46447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201</v>
      </c>
      <c r="B27" s="16">
        <f>SUM(FinancialCommitments[Remaining])</f>
        <v>86000</v>
      </c>
    </row>
    <row r="29" spans="1:2" x14ac:dyDescent="0.3">
      <c r="A29" t="s">
        <v>202</v>
      </c>
      <c r="B29" s="17">
        <f>1-(SUM(FinancialCommitments[Remaining])/SUM(FinancialCommitments[Total Amount]))</f>
        <v>0</v>
      </c>
    </row>
    <row r="31" spans="1:2" x14ac:dyDescent="0.3">
      <c r="A31" t="s">
        <v>203</v>
      </c>
      <c r="B31" s="7">
        <f>B21-B27</f>
        <v>-64560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G17" sqref="G17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0">
        <v>46204</v>
      </c>
      <c r="B2" s="18" t="s">
        <v>127</v>
      </c>
      <c r="C2" s="18" t="s">
        <v>204</v>
      </c>
      <c r="D2" s="19">
        <v>22000</v>
      </c>
      <c r="E2" s="18" t="s">
        <v>205</v>
      </c>
      <c r="F2" s="18" t="s">
        <v>75</v>
      </c>
      <c r="G2" s="18" t="s">
        <v>206</v>
      </c>
    </row>
    <row r="3" spans="1:7" ht="28.8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ht="28.8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3"/>
  <sheetViews>
    <sheetView topLeftCell="A10" workbookViewId="0">
      <selection activeCell="H32" sqref="H32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218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K10" t="s">
        <v>140</v>
      </c>
    </row>
    <row r="11" spans="1:17" x14ac:dyDescent="0.3">
      <c r="A11" t="s">
        <v>72</v>
      </c>
      <c r="C11" t="s">
        <v>213</v>
      </c>
    </row>
    <row r="12" spans="1:17" x14ac:dyDescent="0.3">
      <c r="A12" t="s">
        <v>73</v>
      </c>
      <c r="C12" t="s">
        <v>214</v>
      </c>
    </row>
    <row r="13" spans="1:17" x14ac:dyDescent="0.3">
      <c r="A13" t="s">
        <v>69</v>
      </c>
      <c r="C13" t="s">
        <v>215</v>
      </c>
    </row>
    <row r="14" spans="1:17" x14ac:dyDescent="0.3">
      <c r="A14" t="s">
        <v>74</v>
      </c>
      <c r="C14" t="s">
        <v>210</v>
      </c>
    </row>
    <row r="15" spans="1:17" x14ac:dyDescent="0.3">
      <c r="A15" t="s">
        <v>34</v>
      </c>
      <c r="C15" t="s">
        <v>216</v>
      </c>
    </row>
    <row r="16" spans="1:17" x14ac:dyDescent="0.3">
      <c r="C16" t="s">
        <v>34</v>
      </c>
    </row>
    <row r="18" spans="1:1" x14ac:dyDescent="0.3">
      <c r="A18" t="s">
        <v>196</v>
      </c>
    </row>
    <row r="19" spans="1:1" x14ac:dyDescent="0.3">
      <c r="A19" t="s">
        <v>199</v>
      </c>
    </row>
    <row r="20" spans="1:1" x14ac:dyDescent="0.3">
      <c r="A20" t="s">
        <v>200</v>
      </c>
    </row>
    <row r="21" spans="1:1" x14ac:dyDescent="0.3">
      <c r="A21" t="s">
        <v>6</v>
      </c>
    </row>
    <row r="22" spans="1:1" x14ac:dyDescent="0.3">
      <c r="A22" t="s">
        <v>223</v>
      </c>
    </row>
    <row r="23" spans="1:1" x14ac:dyDescent="0.3">
      <c r="A2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13</vt:i4>
      </vt:variant>
    </vt:vector>
  </HeadingPairs>
  <TitlesOfParts>
    <vt:vector size="25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2026-07-12T12:28:32Z</dcterms:modified>
</cp:coreProperties>
</file>