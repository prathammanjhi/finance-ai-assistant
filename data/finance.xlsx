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57220A0F-D1A6-469D-A718-42CE8834C301}" xr6:coauthVersionLast="47" xr6:coauthVersionMax="47" xr10:uidLastSave="{00000000-0000-0000-0000-000000000000}"/>
  <bookViews>
    <workbookView xWindow="-108" yWindow="-108" windowWidth="23256" windowHeight="12456" firstSheet="3" activeTab="5" xr2:uid="{D6DE1A26-0963-4585-A363-547897EAF3B2}"/>
  </bookViews>
  <sheets>
    <sheet name="Plan" sheetId="1" r:id="rId1"/>
    <sheet name="Transactions" sheetId="2" r:id="rId2"/>
    <sheet name="Dashboard" sheetId="4" r:id="rId3"/>
    <sheet name="Monthly Review" sheetId="5" r:id="rId4"/>
    <sheet name="Skill Tracker" sheetId="9" r:id="rId5"/>
    <sheet name="Financial Commitments" sheetId="10" r:id="rId6"/>
    <sheet name="Income" sheetId="11" r:id="rId7"/>
    <sheet name="Income engine" sheetId="6" r:id="rId8"/>
    <sheet name="Carrer Tracker" sheetId="7" r:id="rId9"/>
    <sheet name="Interview Prep" sheetId="8" r:id="rId10"/>
    <sheet name="Lists" sheetId="3" r:id="rId11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Lists!$A$17:$A$19</definedName>
    <definedName name="NeedWant">Lists!$C$1:$C$2</definedName>
    <definedName name="NextAction">Lists!$Q$1:$Q$7</definedName>
    <definedName name="PaymentMode">Lists!$E$1:$E$4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2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7" i="4"/>
  <c r="B16" i="4"/>
  <c r="B15" i="4"/>
  <c r="B14" i="4"/>
  <c r="B13" i="4"/>
  <c r="B12" i="4"/>
  <c r="B21" i="4" s="1"/>
  <c r="B31" i="4" s="1"/>
  <c r="B30" i="1"/>
  <c r="B12" i="1"/>
  <c r="B19" i="1" s="1"/>
  <c r="C19" i="1" s="1"/>
  <c r="B24" i="4" l="1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<sst xmlns="http://schemas.openxmlformats.org/spreadsheetml/2006/main" count="299" uniqueCount="225">
  <si>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</si>
  <si>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</si>
  <si>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</si>
  <si>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</si>
  <si>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</si>
  <si>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</si>
  <si>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</si>
  <si>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</si>
  <si>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</si>
  <si>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</si>
  <si>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</si>
  <si>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</si>
  <si>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</si>
  <si>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</si>
  <si>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</si>
  <si>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</si>
  <si>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</si>
  <si>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</si>
  <si>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</si>
  <si>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</si>
  <si>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</si>
  <si>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</si>
  <si>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</si>
  <si>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</si>
  <si>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</si>
  <si>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</si>
  <si>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</si>
  <si>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</si>
  <si>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</si>
  <si>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</si>
  <si>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</si>
  <si>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</si>
  <si>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</si>
  <si>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</si>
  <si>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</si>
  <si>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</si>
  <si>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</si>
  <si>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</si>
  <si>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</si>
  <si>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</si>
  <si>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</si>
  <si>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</si>
  <si>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</si>
  <si>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</si>
  <si>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</si>
  <si>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</si>
  <si>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</si>
  <si>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</si>
  <si>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</si>
  <si>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</si>
  <si>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</si>
  <si>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</si>
  <si>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</si>
  <si>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</si>
  <si>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</si>
  <si>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</si>
  <si>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</si>
  <si>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</si>
  <si>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</si>
  <si>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</si>
  <si>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</si>
  <si>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</si>
  <si>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</si>
  <si>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</si>
  <si>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</si>
  <si>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</si>
  <si>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</si>
  <si>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</si>
  <si>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</si>
  <si>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</si>
  <si>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</si>
  <si>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</si>
  <si>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</si>
  <si>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</si>
  <si>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</si>
  <si>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</si>
  <si>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</si>
  <si>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</si>
  <si>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</si>
  <si>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</si>
  <si>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</si>
  <si>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</si>
  <si>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</si>
  <si>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</si>
  <si>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</si>
  <si>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</si>
  <si>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</si>
  <si>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</si>
  <si>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</si>
  <si>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</si>
  <si>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</si>
  <si>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</si>
  <si>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</si>
  <si>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</si>
  <si>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</si>
  <si>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</si>
  <si>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</si>
  <si>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</si>
  <si>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</si>
  <si>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</si>
  <si>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</si>
  <si>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</si>
  <si>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</si>
  <si>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</si>
  <si>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</si>
  <si>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</si>
  <si>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</si>
  <si>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</si>
  <si>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</si>
  <si>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</si>
  <si>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</si>
  <si>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</si>
  <si>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</si>
  <si>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</si>
  <si>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</si>
  <si>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</si>
  <si>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</si>
  <si>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</si>
  <si>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</si>
  <si>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</si>
  <si>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</si>
  <si>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</si>
  <si>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</si>
  <si>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</si>
  <si>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</si>
  <si>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</si>
  <si>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</si>
  <si>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</si>
  <si>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</si>
  <si>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</si>
  <si>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</si>
  <si>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</si>
  <si>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</si>
  <si>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</si>
  <si>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</si>
  <si>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</si>
  <si>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</si>
  <si>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</si>
  <si>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</si>
  <si>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</si>
  <si>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</si>
  <si>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</si>
  <si>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</si>
  <si>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</si>
  <si>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</si>
  <si>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</si>
  <si>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</si>
  <si>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</si>
  <si>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</si>
  <si>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</si>
  <si>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</si>
  <si>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</si>
  <si>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</si>
  <si>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</si>
  <si>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</si>
  <si>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</si>
  <si>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</si>
  <si>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</si>
  <si>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</si>
  <si>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</si>
  <si>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</si>
  <si>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</si>
  <si>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</si>
  <si>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</si>
  <si>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</si>
  <si>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</si>
  <si>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</si>
  <si>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</si>
  <si>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</si>
  <si>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</si>
  <si>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</si>
  <si>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</si>
  <si>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</si>
  <si>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</si>
  <si>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</si>
  <si>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</si>
  <si>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</si>
  <si>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</si>
  <si>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</si>
  <si>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</si>
  <si>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</si>
  <si>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</si>
  <si>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</si>
  <si>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</si>
  <si>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</si>
  <si>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</si>
  <si>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</si>
  <si>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</si>
  <si>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</si>
  <si>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</si>
  <si>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</si>
  <si>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</si>
  <si>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 xml:space="preserve">Date </t>
  </si>
  <si>
    <t>From</t>
  </si>
  <si>
    <t>Repaid</t>
  </si>
  <si>
    <t>Remaining</t>
  </si>
  <si>
    <t>Due Date</t>
  </si>
  <si>
    <t>Mummy</t>
  </si>
  <si>
    <t>Family Loan</t>
  </si>
  <si>
    <t xml:space="preserve">Flexible </t>
  </si>
  <si>
    <t>Active</t>
  </si>
  <si>
    <t>Survival</t>
  </si>
  <si>
    <t>Vivek</t>
  </si>
  <si>
    <t>Friend Loan</t>
  </si>
  <si>
    <t>Job Search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</si>
  <si>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</si>
  <si>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</si>
  <si>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</si>
  <si>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</si>
  <si>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</si>
  <si>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</si>
  <si>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</si>
  <si>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</si>
  <si>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</si>
  <si>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</si>
  <si>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</si>
  <si>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</si>
  <si>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</si>
  <si>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</si>
  <si>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</si>
  <si>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</si>
  <si>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</si>
  <si>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</si>
  <si>
    <t>Paid</t>
  </si>
  <si>
    <t>Raj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</si>
</sst>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2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0" fontId="0" fillId="5" borderId="4" xfId="0" applyFill="1" applyBorder="1"/>
    <xf numFmtId="0" fontId="0" fillId="5" borderId="2" xfId="0" applyFill="1" applyBorder="1"/>
    <xf numFmtId="14" fontId="0" fillId="5" borderId="5" xfId="0" applyNumberFormat="1" applyFill="1" applyBorder="1"/>
    <xf numFmtId="0" fontId="0" fillId="5" borderId="6" xfId="0" applyFill="1" applyBorder="1"/>
    <xf numFmtId="0" fontId="0" fillId="5" borderId="7" xfId="0" applyFill="1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5" borderId="5" xfId="0" applyFill="1" applyBorder="1"/>
    <xf numFmtId="0" fontId="0" fillId="0" borderId="5" xfId="0" applyBorder="1"/>
    <xf numFmtId="0" fontId="2" fillId="2" borderId="8" xfId="0" applyFont="1" applyFill="1" applyBorder="1"/>
    <xf numFmtId="0" fontId="2" fillId="2" borderId="0" xfId="0" applyFont="1" applyFill="1"/>
    <xf numFmtId="0" fontId="2" fillId="2" borderId="9" xfId="0" applyFont="1" applyFill="1" applyBorder="1"/>
    <xf numFmtId="6" fontId="0" fillId="0" borderId="1" xfId="0" applyNumberFormat="1" applyBorder="1"/>
    <xf numFmtId="16" fontId="0" fillId="0" borderId="0" xfId="0" applyNumberFormat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  <xf numFmtId="164" fontId="0" fillId="0" borderId="0" xfId="0" applyNumberFormat="1"/>
  </cellXfs>
  <cellStyles count="2">
    <cellStyle name="Normal" xfId="0" builtinId="0"/>
    <cellStyle name="Percent" xfId="1" builtinId="5"/>
  </cellStyles>
  <dxfs count="16"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J1048576" totalsRowShown="0" headerRowDxfId="15" tableBorderDxfId="14">
  <autoFilter ref="A1:J1048576" xr:uid="{42D67FA3-A40A-4607-BCB9-468A9ECB0007}"/>
  <tableColumns count="10">
    <tableColumn id="1" xr3:uid="{1D37F906-33D7-46E6-8270-56D5EEA80EC7}" name="Date"/>
    <tableColumn id="2" xr3:uid="{2540F9F9-0821-4F01-8F09-97963D92C234}" name="Month"/>
    <tableColumn id="3" xr3:uid="{65483BBC-B6AA-4B15-88CE-6DE011174F3E}" name="Year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I50" totalsRowShown="0">
  <autoFilter ref="A1:I50" xr:uid="{1AFBBFA5-5EA2-4DA5-91C7-5EE90985F084}"/>
  <tableColumns count="9">
    <tableColumn id="1" xr3:uid="{C10697DD-F282-4D7F-A12A-9BFC6193DC4E}" name="Date "/>
    <tableColumn id="2" xr3:uid="{D6130D6E-B2EE-4D09-94CD-7E8053CD1C7B}" name="From"/>
    <tableColumn id="3" xr3:uid="{8ECD20EB-BEF0-47D5-8DA5-28D491EC7B0A}" name="Type"/>
    <tableColumn id="4" xr3:uid="{87D047F3-8B64-4D30-ACC0-42FFF26FEC3E}" name="Amount" dataDxfId="2"/>
    <tableColumn id="5" xr3:uid="{C982624C-E448-4958-A5CE-7D794FC142FA}" name="Repaid" dataDxfId="1"/>
    <tableColumn id="6" xr3:uid="{665D5056-3744-4E56-95C7-F0943FD35707}" name="Remaining" dataDxfId="0"/>
    <tableColumn id="7" xr3:uid="{FFDA91C5-2668-4023-9FEE-465A59D85270}" name="Due Date"/>
    <tableColumn id="8" xr3:uid="{748EB09B-78B0-49AB-AC7E-88A7F4C42C89}" name="Status"/>
    <tableColumn id="9" xr3:uid="{9F5FA8E8-540D-4C48-B339-C097673FD287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3" dataDxfId="12">
  <autoFilter ref="A1:G4" xr:uid="{7C5D4057-F5F1-485E-AE6E-34A855BB81C8}"/>
  <tableColumns count="7">
    <tableColumn id="1" xr3:uid="{85417279-B333-4129-826F-4B13A464B0A1}" name="Date" dataDxfId="11"/>
    <tableColumn id="2" xr3:uid="{72151722-7F6E-43AF-AADF-05A0452D151E}" name="Source" dataDxfId="10"/>
    <tableColumn id="3" xr3:uid="{A9F1D760-964B-4BC4-876E-FE2B218C85B6}" name="Category" dataDxfId="9"/>
    <tableColumn id="4" xr3:uid="{31C0BCAE-AC93-4345-9B1C-546CE0735A6B}" name="Amount" dataDxfId="8"/>
    <tableColumn id="5" xr3:uid="{C6E99480-C881-404B-8F25-E2549BD2CCCD}" name="Status" dataDxfId="7"/>
    <tableColumn id="7" xr3:uid="{29AC2CCC-8D50-4D4F-9049-D5CBB08CDAB6}" name="Recurring" dataDxfId="6"/>
    <tableColumn id="6" xr3:uid="{4D5A0A55-4298-4332-9A93-683CDAE35676}" name="Notes" dataDxfId="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30" t="s">
        <v>0</v>
      </c>
      <c r="B1" s="30"/>
      <c r="C1" s="30"/>
      <c r="D1" s="30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4" priority="1" operator="greaterThan">
      <formula>0</formula>
    </cfRule>
    <cfRule type="cellIs" dxfId="3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J100"/>
  <sheetViews>
    <sheetView topLeftCell="A2" workbookViewId="0">
      <selection activeCell="A2" sqref="A2:J1048576"/>
    </sheetView>
  </sheetViews>
  <sheetFormatPr defaultRowHeight="14.4" x14ac:dyDescent="0.3"/>
  <cols>
    <col min="1" max="1" width="10.33203125" customWidth="1"/>
    <col min="4" max="4" width="9.5546875" customWidth="1"/>
    <col min="5" max="5" width="10.21875" customWidth="1"/>
    <col min="6" max="6" width="12.88671875" customWidth="1"/>
    <col min="7" max="7" width="9.33203125" customWidth="1"/>
    <col min="8" max="8" width="12.33203125" customWidth="1"/>
    <col min="9" max="9" width="15.109375" customWidth="1"/>
    <col min="10" max="10" width="10.77734375" customWidth="1"/>
  </cols>
  <sheetData>
    <row r="1" spans="1:10" x14ac:dyDescent="0.3">
      <c r="A1" s="20" t="s">
        <v>27</v>
      </c>
      <c r="B1" s="21" t="s">
        <v>52</v>
      </c>
      <c r="C1" s="22" t="s">
        <v>78</v>
      </c>
      <c r="D1" s="21" t="s">
        <v>66</v>
      </c>
      <c r="E1" s="21" t="s">
        <v>24</v>
      </c>
      <c r="F1" s="21" t="s">
        <v>25</v>
      </c>
      <c r="G1" s="21" t="s">
        <v>2</v>
      </c>
      <c r="H1" s="21" t="s">
        <v>26</v>
      </c>
      <c r="I1" s="21" t="s">
        <v>61</v>
      </c>
      <c r="J1" s="21" t="s">
        <v>77</v>
      </c>
    </row>
    <row r="2" spans="1:10" x14ac:dyDescent="0.3">
      <c r="A2" s="12">
        <v>46201</v>
      </c>
      <c r="B2" s="13" t="str">
        <f>TEXT(Transactions!$A2,"mmmm")</f>
        <v>June</v>
      </c>
      <c r="C2" s="14">
        <v>2026</v>
      </c>
      <c r="D2" s="13" t="s">
        <v>67</v>
      </c>
      <c r="E2" s="13" t="s">
        <v>28</v>
      </c>
      <c r="F2" s="13" t="s">
        <v>222</v>
      </c>
      <c r="G2" s="13">
        <v>260</v>
      </c>
      <c r="H2" s="13" t="s">
        <v>36</v>
      </c>
      <c r="I2" s="13" t="s">
        <v>62</v>
      </c>
      <c r="J2" s="13" t="s">
        <v>76</v>
      </c>
    </row>
    <row r="3" spans="1:10" x14ac:dyDescent="0.3">
      <c r="A3" s="15"/>
      <c r="B3" s="16"/>
      <c r="C3" s="17"/>
      <c r="D3" s="16"/>
      <c r="E3" s="16"/>
      <c r="F3" s="16"/>
      <c r="G3" s="16"/>
      <c r="H3" s="16"/>
      <c r="I3" s="16"/>
      <c r="J3" s="16"/>
    </row>
    <row r="4" spans="1:10" x14ac:dyDescent="0.3">
      <c r="A4" s="12"/>
      <c r="B4" s="13"/>
      <c r="C4" s="14"/>
      <c r="D4" s="13"/>
      <c r="E4" s="13"/>
      <c r="F4" s="13"/>
      <c r="G4" s="13"/>
      <c r="H4" s="13"/>
      <c r="I4" s="13"/>
      <c r="J4" s="13"/>
    </row>
    <row r="5" spans="1:10" x14ac:dyDescent="0.3">
      <c r="A5" s="19"/>
      <c r="B5" s="16" t="str">
        <f>TEXT(Transactions!$A5,"mmmm")</f>
        <v>January</v>
      </c>
      <c r="C5" s="17"/>
      <c r="D5" s="16"/>
      <c r="E5" s="16"/>
      <c r="F5" s="16"/>
      <c r="G5" s="16"/>
      <c r="H5" s="16"/>
      <c r="I5" s="16"/>
      <c r="J5" s="16"/>
    </row>
    <row r="6" spans="1:10" x14ac:dyDescent="0.3">
      <c r="A6" s="18"/>
      <c r="B6" s="13" t="str">
        <f>TEXT(Transactions!$A6,"mmmm")</f>
        <v>January</v>
      </c>
      <c r="C6" s="14"/>
      <c r="D6" s="13"/>
      <c r="E6" s="13"/>
      <c r="F6" s="13"/>
      <c r="G6" s="13"/>
      <c r="H6" s="13"/>
      <c r="I6" s="13"/>
      <c r="J6" s="13"/>
    </row>
    <row r="7" spans="1:10" x14ac:dyDescent="0.3">
      <c r="A7" s="19"/>
      <c r="B7" s="16" t="str">
        <f>TEXT(Transactions!$A7,"mmmm")</f>
        <v>January</v>
      </c>
      <c r="C7" s="17"/>
      <c r="D7" s="16"/>
      <c r="E7" s="16"/>
      <c r="F7" s="16"/>
      <c r="G7" s="16"/>
      <c r="H7" s="16"/>
      <c r="I7" s="16"/>
      <c r="J7" s="16"/>
    </row>
    <row r="8" spans="1:10" x14ac:dyDescent="0.3">
      <c r="A8" s="18"/>
      <c r="B8" s="13" t="str">
        <f>TEXT(Transactions!$A8,"mmmm")</f>
        <v>January</v>
      </c>
      <c r="C8" s="14"/>
      <c r="D8" s="13"/>
      <c r="E8" s="13"/>
      <c r="F8" s="13"/>
      <c r="G8" s="13"/>
      <c r="H8" s="13"/>
      <c r="I8" s="13"/>
      <c r="J8" s="13"/>
    </row>
    <row r="9" spans="1:10" x14ac:dyDescent="0.3">
      <c r="A9" s="19"/>
      <c r="B9" s="16" t="str">
        <f>TEXT(Transactions!$A9,"mmmm")</f>
        <v>January</v>
      </c>
      <c r="C9" s="17"/>
      <c r="D9" s="16"/>
      <c r="E9" s="16"/>
      <c r="F9" s="16"/>
      <c r="G9" s="16"/>
      <c r="H9" s="16"/>
      <c r="I9" s="16"/>
      <c r="J9" s="16"/>
    </row>
    <row r="10" spans="1:10" x14ac:dyDescent="0.3">
      <c r="A10" s="18"/>
      <c r="B10" s="13" t="str">
        <f>TEXT(Transactions!$A10,"mmmm")</f>
        <v>January</v>
      </c>
      <c r="C10" s="14"/>
      <c r="D10" s="13"/>
      <c r="E10" s="13"/>
      <c r="F10" s="13"/>
      <c r="G10" s="13"/>
      <c r="H10" s="13"/>
      <c r="I10" s="13"/>
      <c r="J10" s="13"/>
    </row>
    <row r="11" spans="1:10" x14ac:dyDescent="0.3">
      <c r="A11" s="19"/>
      <c r="B11" s="16" t="str">
        <f>TEXT(Transactions!$A11,"mmmm")</f>
        <v>January</v>
      </c>
      <c r="C11" s="17"/>
      <c r="D11" s="16"/>
      <c r="E11" s="16"/>
      <c r="F11" s="16"/>
      <c r="G11" s="16"/>
      <c r="H11" s="16"/>
      <c r="I11" s="16"/>
      <c r="J11" s="16"/>
    </row>
    <row r="12" spans="1:10" x14ac:dyDescent="0.3">
      <c r="A12" s="18"/>
      <c r="B12" s="13" t="str">
        <f>TEXT(Transactions!$A12,"mmmm")</f>
        <v>January</v>
      </c>
      <c r="C12" s="14"/>
      <c r="D12" s="13"/>
      <c r="E12" s="13"/>
      <c r="F12" s="13"/>
      <c r="G12" s="13"/>
      <c r="H12" s="13"/>
      <c r="I12" s="13"/>
      <c r="J12" s="13"/>
    </row>
    <row r="13" spans="1:10" x14ac:dyDescent="0.3">
      <c r="A13" s="19"/>
      <c r="B13" s="16" t="str">
        <f>TEXT(Transactions!$A13,"mmmm")</f>
        <v>January</v>
      </c>
      <c r="C13" s="17"/>
      <c r="D13" s="16"/>
      <c r="E13" s="16"/>
      <c r="F13" s="16"/>
      <c r="G13" s="16"/>
      <c r="H13" s="16"/>
      <c r="I13" s="16"/>
      <c r="J13" s="16"/>
    </row>
    <row r="14" spans="1:10" x14ac:dyDescent="0.3">
      <c r="A14" s="18"/>
      <c r="B14" s="13" t="str">
        <f>TEXT(Transactions!$A14,"mmmm")</f>
        <v>January</v>
      </c>
      <c r="C14" s="14"/>
      <c r="D14" s="13"/>
      <c r="E14" s="13"/>
      <c r="F14" s="13"/>
      <c r="G14" s="13"/>
      <c r="H14" s="13"/>
      <c r="I14" s="13"/>
      <c r="J14" s="13"/>
    </row>
    <row r="15" spans="1:10" x14ac:dyDescent="0.3">
      <c r="A15" s="19"/>
      <c r="B15" s="16" t="str">
        <f>TEXT(Transactions!$A15,"mmmm")</f>
        <v>January</v>
      </c>
      <c r="C15" s="17"/>
      <c r="D15" s="16"/>
      <c r="E15" s="16"/>
      <c r="F15" s="16"/>
      <c r="G15" s="16"/>
      <c r="H15" s="16"/>
      <c r="I15" s="16"/>
      <c r="J15" s="16"/>
    </row>
    <row r="16" spans="1:10" x14ac:dyDescent="0.3">
      <c r="A16" s="18"/>
      <c r="B16" s="13" t="str">
        <f>TEXT(Transactions!$A16,"mmmm")</f>
        <v>January</v>
      </c>
      <c r="C16" s="14"/>
      <c r="D16" s="13"/>
      <c r="E16" s="13"/>
      <c r="F16" s="13"/>
      <c r="G16" s="13"/>
      <c r="H16" s="13"/>
      <c r="I16" s="13"/>
      <c r="J16" s="13"/>
    </row>
    <row r="17" spans="1:10" x14ac:dyDescent="0.3">
      <c r="A17" s="19"/>
      <c r="B17" s="16" t="str">
        <f>TEXT(Transactions!$A17,"mmmm")</f>
        <v>January</v>
      </c>
      <c r="C17" s="17"/>
      <c r="D17" s="16"/>
      <c r="E17" s="16"/>
      <c r="F17" s="16"/>
      <c r="G17" s="16"/>
      <c r="H17" s="16"/>
      <c r="I17" s="16"/>
      <c r="J17" s="16"/>
    </row>
    <row r="18" spans="1:10" x14ac:dyDescent="0.3">
      <c r="A18" s="18"/>
      <c r="B18" s="13" t="str">
        <f>TEXT(Transactions!$A18,"mmmm")</f>
        <v>January</v>
      </c>
      <c r="C18" s="14"/>
      <c r="D18" s="13"/>
      <c r="E18" s="13"/>
      <c r="F18" s="13"/>
      <c r="G18" s="13"/>
      <c r="H18" s="13"/>
      <c r="I18" s="13"/>
      <c r="J18" s="13"/>
    </row>
    <row r="19" spans="1:10" x14ac:dyDescent="0.3">
      <c r="A19" s="19"/>
      <c r="B19" s="16" t="str">
        <f>TEXT(Transactions!$A19,"mmmm")</f>
        <v>January</v>
      </c>
      <c r="C19" s="17"/>
      <c r="D19" s="16"/>
      <c r="E19" s="16"/>
      <c r="F19" s="16"/>
      <c r="G19" s="16"/>
      <c r="H19" s="16"/>
      <c r="I19" s="16"/>
      <c r="J19" s="16"/>
    </row>
    <row r="20" spans="1:10" x14ac:dyDescent="0.3">
      <c r="A20" s="18"/>
      <c r="B20" s="13" t="str">
        <f>TEXT(Transactions!$A20,"mmmm")</f>
        <v>January</v>
      </c>
      <c r="C20" s="14"/>
      <c r="D20" s="13"/>
      <c r="E20" s="13"/>
      <c r="F20" s="13"/>
      <c r="G20" s="13"/>
      <c r="H20" s="13"/>
      <c r="I20" s="13"/>
      <c r="J20" s="13"/>
    </row>
    <row r="21" spans="1:10" x14ac:dyDescent="0.3">
      <c r="A21" s="19"/>
      <c r="B21" s="16" t="str">
        <f>TEXT(Transactions!$A21,"mmmm")</f>
        <v>January</v>
      </c>
      <c r="C21" s="17"/>
      <c r="D21" s="16"/>
      <c r="E21" s="16"/>
      <c r="F21" s="16"/>
      <c r="G21" s="16"/>
      <c r="H21" s="16"/>
      <c r="I21" s="16"/>
      <c r="J21" s="16"/>
    </row>
    <row r="22" spans="1:10" x14ac:dyDescent="0.3">
      <c r="A22" s="18"/>
      <c r="B22" s="13" t="str">
        <f>TEXT(Transactions!$A22,"mmmm")</f>
        <v>January</v>
      </c>
      <c r="C22" s="14"/>
      <c r="D22" s="13"/>
      <c r="E22" s="13"/>
      <c r="F22" s="13"/>
      <c r="G22" s="13"/>
      <c r="H22" s="13"/>
      <c r="I22" s="13"/>
      <c r="J22" s="13"/>
    </row>
    <row r="23" spans="1:10" x14ac:dyDescent="0.3">
      <c r="A23" s="19"/>
      <c r="B23" s="16" t="str">
        <f>TEXT(Transactions!$A23,"mmmm")</f>
        <v>January</v>
      </c>
      <c r="C23" s="17"/>
      <c r="D23" s="16"/>
      <c r="E23" s="16"/>
      <c r="F23" s="16"/>
      <c r="G23" s="16"/>
      <c r="H23" s="16"/>
      <c r="I23" s="16"/>
      <c r="J23" s="16"/>
    </row>
    <row r="24" spans="1:10" x14ac:dyDescent="0.3">
      <c r="A24" s="18"/>
      <c r="B24" s="13" t="str">
        <f>TEXT(Transactions!$A24,"mmmm")</f>
        <v>January</v>
      </c>
      <c r="C24" s="14"/>
      <c r="D24" s="13"/>
      <c r="E24" s="13"/>
      <c r="F24" s="13"/>
      <c r="G24" s="13"/>
      <c r="H24" s="13"/>
      <c r="I24" s="13"/>
      <c r="J24" s="13"/>
    </row>
    <row r="25" spans="1:10" x14ac:dyDescent="0.3">
      <c r="A25" s="19"/>
      <c r="B25" s="16" t="str">
        <f>TEXT(Transactions!$A25,"mmmm")</f>
        <v>January</v>
      </c>
      <c r="C25" s="17"/>
      <c r="D25" s="16"/>
      <c r="E25" s="16"/>
      <c r="F25" s="16"/>
      <c r="G25" s="16"/>
      <c r="H25" s="16"/>
      <c r="I25" s="16"/>
      <c r="J25" s="16"/>
    </row>
    <row r="26" spans="1:10" x14ac:dyDescent="0.3">
      <c r="A26" s="18"/>
      <c r="B26" s="13" t="str">
        <f>TEXT(Transactions!$A26,"mmmm")</f>
        <v>January</v>
      </c>
      <c r="C26" s="14"/>
      <c r="D26" s="13"/>
      <c r="E26" s="13"/>
      <c r="F26" s="13"/>
      <c r="G26" s="13"/>
      <c r="H26" s="13"/>
      <c r="I26" s="13"/>
      <c r="J26" s="13"/>
    </row>
    <row r="27" spans="1:10" x14ac:dyDescent="0.3">
      <c r="A27" s="19"/>
      <c r="B27" s="16" t="str">
        <f>TEXT(Transactions!$A27,"mmmm")</f>
        <v>January</v>
      </c>
      <c r="C27" s="17"/>
      <c r="D27" s="16"/>
      <c r="E27" s="16"/>
      <c r="F27" s="16"/>
      <c r="G27" s="16"/>
      <c r="H27" s="16"/>
      <c r="I27" s="16"/>
      <c r="J27" s="16"/>
    </row>
    <row r="28" spans="1:10" x14ac:dyDescent="0.3">
      <c r="A28" s="18"/>
      <c r="B28" s="13" t="str">
        <f>TEXT(Transactions!$A28,"mmmm")</f>
        <v>January</v>
      </c>
      <c r="C28" s="14"/>
      <c r="D28" s="13"/>
      <c r="E28" s="13"/>
      <c r="F28" s="13"/>
      <c r="G28" s="13"/>
      <c r="H28" s="13"/>
      <c r="I28" s="13"/>
      <c r="J28" s="13"/>
    </row>
    <row r="29" spans="1:10" x14ac:dyDescent="0.3">
      <c r="A29" s="19"/>
      <c r="B29" s="16" t="str">
        <f>TEXT(Transactions!$A29,"mmmm")</f>
        <v>January</v>
      </c>
      <c r="C29" s="17"/>
      <c r="D29" s="16"/>
      <c r="E29" s="16"/>
      <c r="F29" s="16"/>
      <c r="G29" s="16"/>
      <c r="H29" s="16"/>
      <c r="I29" s="16"/>
      <c r="J29" s="16"/>
    </row>
    <row r="30" spans="1:10" x14ac:dyDescent="0.3">
      <c r="A30" s="18"/>
      <c r="B30" s="13" t="str">
        <f>TEXT(Transactions!$A30,"mmmm")</f>
        <v>January</v>
      </c>
      <c r="C30" s="14"/>
      <c r="D30" s="13"/>
      <c r="E30" s="13"/>
      <c r="F30" s="13"/>
      <c r="G30" s="13"/>
      <c r="H30" s="13"/>
      <c r="I30" s="13"/>
      <c r="J30" s="13"/>
    </row>
    <row r="31" spans="1:10" x14ac:dyDescent="0.3">
      <c r="A31" s="19"/>
      <c r="B31" s="16" t="str">
        <f>TEXT(Transactions!$A31,"mmmm")</f>
        <v>January</v>
      </c>
      <c r="C31" s="17"/>
      <c r="D31" s="16"/>
      <c r="E31" s="16"/>
      <c r="F31" s="16"/>
      <c r="G31" s="16"/>
      <c r="H31" s="16"/>
      <c r="I31" s="16"/>
      <c r="J31" s="16"/>
    </row>
    <row r="32" spans="1:10" x14ac:dyDescent="0.3">
      <c r="A32" s="18"/>
      <c r="B32" s="13" t="str">
        <f>TEXT(Transactions!$A32,"mmmm")</f>
        <v>January</v>
      </c>
      <c r="C32" s="14"/>
      <c r="D32" s="13"/>
      <c r="E32" s="13"/>
      <c r="F32" s="13"/>
      <c r="G32" s="13"/>
      <c r="H32" s="13"/>
      <c r="I32" s="13"/>
      <c r="J32" s="13"/>
    </row>
    <row r="33" spans="1:10" x14ac:dyDescent="0.3">
      <c r="A33" s="19"/>
      <c r="B33" s="16" t="str">
        <f>TEXT(Transactions!$A33,"mmmm")</f>
        <v>January</v>
      </c>
      <c r="C33" s="17"/>
      <c r="D33" s="16"/>
      <c r="E33" s="16"/>
      <c r="F33" s="16"/>
      <c r="G33" s="16"/>
      <c r="H33" s="16"/>
      <c r="I33" s="16"/>
      <c r="J33" s="16"/>
    </row>
    <row r="34" spans="1:10" x14ac:dyDescent="0.3">
      <c r="A34" s="18"/>
      <c r="B34" s="13" t="str">
        <f>TEXT(Transactions!$A34,"mmmm")</f>
        <v>January</v>
      </c>
      <c r="C34" s="14"/>
      <c r="D34" s="13"/>
      <c r="E34" s="13"/>
      <c r="F34" s="13"/>
      <c r="G34" s="13"/>
      <c r="H34" s="13"/>
      <c r="I34" s="13"/>
      <c r="J34" s="13"/>
    </row>
    <row r="35" spans="1:10" x14ac:dyDescent="0.3">
      <c r="A35" s="19"/>
      <c r="B35" s="16" t="str">
        <f>TEXT(Transactions!$A35,"mmmm")</f>
        <v>January</v>
      </c>
      <c r="C35" s="17"/>
      <c r="D35" s="16"/>
      <c r="E35" s="16"/>
      <c r="F35" s="16"/>
      <c r="G35" s="16"/>
      <c r="H35" s="16"/>
      <c r="I35" s="16"/>
      <c r="J35" s="16"/>
    </row>
    <row r="36" spans="1:10" x14ac:dyDescent="0.3">
      <c r="A36" s="18"/>
      <c r="B36" s="13" t="str">
        <f>TEXT(Transactions!$A36,"mmmm")</f>
        <v>January</v>
      </c>
      <c r="C36" s="14"/>
      <c r="D36" s="13"/>
      <c r="E36" s="13"/>
      <c r="F36" s="13"/>
      <c r="G36" s="13"/>
      <c r="H36" s="13"/>
      <c r="I36" s="13"/>
      <c r="J36" s="13"/>
    </row>
    <row r="37" spans="1:10" x14ac:dyDescent="0.3">
      <c r="A37" s="19"/>
      <c r="B37" s="16" t="str">
        <f>TEXT(Transactions!$A37,"mmmm")</f>
        <v>January</v>
      </c>
      <c r="C37" s="17"/>
      <c r="D37" s="16"/>
      <c r="E37" s="16"/>
      <c r="F37" s="16"/>
      <c r="G37" s="16"/>
      <c r="H37" s="16"/>
      <c r="I37" s="16"/>
      <c r="J37" s="16"/>
    </row>
    <row r="38" spans="1:10" x14ac:dyDescent="0.3">
      <c r="A38" s="18"/>
      <c r="B38" s="13" t="str">
        <f>TEXT(Transactions!$A38,"mmmm")</f>
        <v>January</v>
      </c>
      <c r="C38" s="14"/>
      <c r="D38" s="13"/>
      <c r="E38" s="13"/>
      <c r="F38" s="13"/>
      <c r="G38" s="13"/>
      <c r="H38" s="13"/>
      <c r="I38" s="13"/>
      <c r="J38" s="13"/>
    </row>
    <row r="39" spans="1:10" x14ac:dyDescent="0.3">
      <c r="A39" s="19"/>
      <c r="B39" s="16" t="str">
        <f>TEXT(Transactions!$A39,"mmmm")</f>
        <v>January</v>
      </c>
      <c r="C39" s="17"/>
      <c r="D39" s="16"/>
      <c r="E39" s="16"/>
      <c r="F39" s="16"/>
      <c r="G39" s="16"/>
      <c r="H39" s="16"/>
      <c r="I39" s="16"/>
      <c r="J39" s="16"/>
    </row>
    <row r="40" spans="1:10" x14ac:dyDescent="0.3">
      <c r="A40" s="18"/>
      <c r="B40" s="13" t="str">
        <f>TEXT(Transactions!$A40,"mmmm")</f>
        <v>January</v>
      </c>
      <c r="C40" s="14"/>
      <c r="D40" s="13"/>
      <c r="E40" s="13"/>
      <c r="F40" s="13"/>
      <c r="G40" s="13"/>
      <c r="H40" s="13"/>
      <c r="I40" s="13"/>
      <c r="J40" s="13"/>
    </row>
    <row r="41" spans="1:10" x14ac:dyDescent="0.3">
      <c r="A41" s="19"/>
      <c r="B41" s="16" t="str">
        <f>TEXT(Transactions!$A41,"mmmm")</f>
        <v>January</v>
      </c>
      <c r="C41" s="17"/>
      <c r="D41" s="16"/>
      <c r="E41" s="16"/>
      <c r="F41" s="16"/>
      <c r="G41" s="16"/>
      <c r="H41" s="16"/>
      <c r="I41" s="16"/>
      <c r="J41" s="16"/>
    </row>
    <row r="42" spans="1:10" x14ac:dyDescent="0.3">
      <c r="A42" s="18"/>
      <c r="B42" s="13" t="str">
        <f>TEXT(Transactions!$A42,"mmmm")</f>
        <v>January</v>
      </c>
      <c r="C42" s="14"/>
      <c r="D42" s="13"/>
      <c r="E42" s="13"/>
      <c r="F42" s="13"/>
      <c r="G42" s="13"/>
      <c r="H42" s="13"/>
      <c r="I42" s="13"/>
      <c r="J42" s="13"/>
    </row>
    <row r="43" spans="1:10" x14ac:dyDescent="0.3">
      <c r="A43" s="19"/>
      <c r="B43" s="16" t="str">
        <f>TEXT(Transactions!$A43,"mmmm")</f>
        <v>January</v>
      </c>
      <c r="C43" s="17"/>
      <c r="D43" s="16"/>
      <c r="E43" s="16"/>
      <c r="F43" s="16"/>
      <c r="G43" s="16"/>
      <c r="H43" s="16"/>
      <c r="I43" s="16"/>
      <c r="J43" s="16"/>
    </row>
    <row r="44" spans="1:10" x14ac:dyDescent="0.3">
      <c r="A44" s="18"/>
      <c r="B44" s="13" t="str">
        <f>TEXT(Transactions!$A44,"mmmm")</f>
        <v>January</v>
      </c>
      <c r="C44" s="14"/>
      <c r="D44" s="13"/>
      <c r="E44" s="13"/>
      <c r="F44" s="13"/>
      <c r="G44" s="13"/>
      <c r="H44" s="13"/>
      <c r="I44" s="13"/>
      <c r="J44" s="13"/>
    </row>
    <row r="45" spans="1:10" x14ac:dyDescent="0.3">
      <c r="A45" s="19"/>
      <c r="B45" s="16" t="str">
        <f>TEXT(Transactions!$A45,"mmmm")</f>
        <v>January</v>
      </c>
      <c r="C45" s="17"/>
      <c r="D45" s="16"/>
      <c r="E45" s="16"/>
      <c r="F45" s="16"/>
      <c r="G45" s="16"/>
      <c r="H45" s="16"/>
      <c r="I45" s="16"/>
      <c r="J45" s="16"/>
    </row>
    <row r="46" spans="1:10" x14ac:dyDescent="0.3">
      <c r="A46" s="18"/>
      <c r="B46" s="13" t="str">
        <f>TEXT(Transactions!$A46,"mmmm")</f>
        <v>January</v>
      </c>
      <c r="C46" s="14"/>
      <c r="D46" s="13"/>
      <c r="E46" s="13"/>
      <c r="F46" s="13"/>
      <c r="G46" s="13"/>
      <c r="H46" s="13"/>
      <c r="I46" s="13"/>
      <c r="J46" s="13"/>
    </row>
    <row r="47" spans="1:10" x14ac:dyDescent="0.3">
      <c r="A47" s="19"/>
      <c r="B47" s="16" t="str">
        <f>TEXT(Transactions!$A47,"mmmm")</f>
        <v>January</v>
      </c>
      <c r="C47" s="17"/>
      <c r="D47" s="16"/>
      <c r="E47" s="16"/>
      <c r="F47" s="16"/>
      <c r="G47" s="16"/>
      <c r="H47" s="16"/>
      <c r="I47" s="16"/>
      <c r="J47" s="16"/>
    </row>
    <row r="48" spans="1:10" x14ac:dyDescent="0.3">
      <c r="A48" s="18"/>
      <c r="B48" s="13" t="str">
        <f>TEXT(Transactions!$A48,"mmmm")</f>
        <v>January</v>
      </c>
      <c r="C48" s="14"/>
      <c r="D48" s="13"/>
      <c r="E48" s="13"/>
      <c r="F48" s="13"/>
      <c r="G48" s="13"/>
      <c r="H48" s="13"/>
      <c r="I48" s="13"/>
      <c r="J48" s="13"/>
    </row>
    <row r="49" spans="1:10" x14ac:dyDescent="0.3">
      <c r="A49" s="19"/>
      <c r="B49" s="16" t="str">
        <f>TEXT(Transactions!$A49,"mmmm")</f>
        <v>January</v>
      </c>
      <c r="C49" s="17"/>
      <c r="D49" s="16"/>
      <c r="E49" s="16"/>
      <c r="F49" s="16"/>
      <c r="G49" s="16"/>
      <c r="H49" s="16"/>
      <c r="I49" s="16"/>
      <c r="J49" s="16"/>
    </row>
    <row r="50" spans="1:10" x14ac:dyDescent="0.3">
      <c r="A50" s="18"/>
      <c r="B50" s="13" t="str">
        <f>TEXT(Transactions!$A50,"mmmm")</f>
        <v>January</v>
      </c>
      <c r="C50" s="14"/>
      <c r="D50" s="13"/>
      <c r="E50" s="13"/>
      <c r="F50" s="13"/>
      <c r="G50" s="13"/>
      <c r="H50" s="13"/>
      <c r="I50" s="13"/>
      <c r="J50" s="13"/>
    </row>
    <row r="51" spans="1:10" x14ac:dyDescent="0.3">
      <c r="A51" s="19"/>
      <c r="B51" s="16" t="str">
        <f>TEXT(Transactions!$A51,"mmmm")</f>
        <v>January</v>
      </c>
      <c r="C51" s="17"/>
      <c r="D51" s="16"/>
      <c r="E51" s="16"/>
      <c r="F51" s="16"/>
      <c r="G51" s="16"/>
      <c r="H51" s="16"/>
      <c r="I51" s="16"/>
      <c r="J51" s="16"/>
    </row>
    <row r="52" spans="1:10" x14ac:dyDescent="0.3">
      <c r="A52" s="18"/>
      <c r="B52" s="13" t="str">
        <f>TEXT(Transactions!$A52,"mmmm")</f>
        <v>January</v>
      </c>
      <c r="C52" s="14"/>
      <c r="D52" s="13"/>
      <c r="E52" s="13"/>
      <c r="F52" s="13"/>
      <c r="G52" s="13"/>
      <c r="H52" s="13"/>
      <c r="I52" s="13"/>
      <c r="J52" s="13"/>
    </row>
    <row r="53" spans="1:10" x14ac:dyDescent="0.3">
      <c r="A53" s="19"/>
      <c r="B53" s="16" t="str">
        <f>TEXT(Transactions!$A53,"mmmm")</f>
        <v>January</v>
      </c>
      <c r="C53" s="17"/>
      <c r="D53" s="16"/>
      <c r="E53" s="16"/>
      <c r="F53" s="16"/>
      <c r="G53" s="16"/>
      <c r="H53" s="16"/>
      <c r="I53" s="16"/>
      <c r="J53" s="16"/>
    </row>
    <row r="54" spans="1:10" x14ac:dyDescent="0.3">
      <c r="A54" s="18"/>
      <c r="B54" s="13" t="str">
        <f>TEXT(Transactions!$A54,"mmmm")</f>
        <v>January</v>
      </c>
      <c r="C54" s="14"/>
      <c r="D54" s="13"/>
      <c r="E54" s="13"/>
      <c r="F54" s="13"/>
      <c r="G54" s="13"/>
      <c r="H54" s="13"/>
      <c r="I54" s="13"/>
      <c r="J54" s="13"/>
    </row>
    <row r="55" spans="1:10" x14ac:dyDescent="0.3">
      <c r="A55" s="19"/>
      <c r="B55" s="16" t="str">
        <f>TEXT(Transactions!$A55,"mmmm")</f>
        <v>January</v>
      </c>
      <c r="C55" s="17"/>
      <c r="D55" s="16"/>
      <c r="E55" s="16"/>
      <c r="F55" s="16"/>
      <c r="G55" s="16"/>
      <c r="H55" s="16"/>
      <c r="I55" s="16"/>
      <c r="J55" s="16"/>
    </row>
    <row r="56" spans="1:10" x14ac:dyDescent="0.3">
      <c r="A56" s="18"/>
      <c r="B56" s="13" t="str">
        <f>TEXT(Transactions!$A56,"mmmm")</f>
        <v>January</v>
      </c>
      <c r="C56" s="14"/>
      <c r="D56" s="13"/>
      <c r="E56" s="13"/>
      <c r="F56" s="13"/>
      <c r="G56" s="13"/>
      <c r="H56" s="13"/>
      <c r="I56" s="13"/>
      <c r="J56" s="13"/>
    </row>
    <row r="57" spans="1:10" x14ac:dyDescent="0.3">
      <c r="A57" s="19"/>
      <c r="B57" s="16" t="str">
        <f>TEXT(Transactions!$A57,"mmmm")</f>
        <v>January</v>
      </c>
      <c r="C57" s="17"/>
      <c r="D57" s="16"/>
      <c r="E57" s="16"/>
      <c r="F57" s="16"/>
      <c r="G57" s="16"/>
      <c r="H57" s="16"/>
      <c r="I57" s="16"/>
      <c r="J57" s="16"/>
    </row>
    <row r="58" spans="1:10" x14ac:dyDescent="0.3">
      <c r="A58" s="18"/>
      <c r="B58" s="13" t="str">
        <f>TEXT(Transactions!$A58,"mmmm")</f>
        <v>January</v>
      </c>
      <c r="C58" s="14"/>
      <c r="D58" s="13"/>
      <c r="E58" s="13"/>
      <c r="F58" s="13"/>
      <c r="G58" s="13"/>
      <c r="H58" s="13"/>
      <c r="I58" s="13"/>
      <c r="J58" s="13"/>
    </row>
    <row r="59" spans="1:10" x14ac:dyDescent="0.3">
      <c r="A59" s="19"/>
      <c r="B59" s="16" t="str">
        <f>TEXT(Transactions!$A59,"mmmm")</f>
        <v>January</v>
      </c>
      <c r="C59" s="17"/>
      <c r="D59" s="16"/>
      <c r="E59" s="16"/>
      <c r="F59" s="16"/>
      <c r="G59" s="16"/>
      <c r="H59" s="16"/>
      <c r="I59" s="16"/>
      <c r="J59" s="16"/>
    </row>
    <row r="60" spans="1:10" x14ac:dyDescent="0.3">
      <c r="A60" s="18"/>
      <c r="B60" s="13" t="str">
        <f>TEXT(Transactions!$A60,"mmmm")</f>
        <v>January</v>
      </c>
      <c r="C60" s="14"/>
      <c r="D60" s="13"/>
      <c r="E60" s="13"/>
      <c r="F60" s="13"/>
      <c r="G60" s="13"/>
      <c r="H60" s="13"/>
      <c r="I60" s="13"/>
      <c r="J60" s="13"/>
    </row>
    <row r="61" spans="1:10" x14ac:dyDescent="0.3">
      <c r="A61" s="19"/>
      <c r="B61" s="16" t="str">
        <f>TEXT(Transactions!$A61,"mmmm")</f>
        <v>January</v>
      </c>
      <c r="C61" s="17"/>
      <c r="D61" s="16"/>
      <c r="E61" s="16"/>
      <c r="F61" s="16"/>
      <c r="G61" s="16"/>
      <c r="H61" s="16"/>
      <c r="I61" s="16"/>
      <c r="J61" s="16"/>
    </row>
    <row r="62" spans="1:10" x14ac:dyDescent="0.3">
      <c r="A62" s="18"/>
      <c r="B62" s="13" t="str">
        <f>TEXT(Transactions!$A62,"mmmm")</f>
        <v>January</v>
      </c>
      <c r="C62" s="14"/>
      <c r="D62" s="13"/>
      <c r="E62" s="13"/>
      <c r="F62" s="13"/>
      <c r="G62" s="13"/>
      <c r="H62" s="13"/>
      <c r="I62" s="13"/>
      <c r="J62" s="13"/>
    </row>
    <row r="63" spans="1:10" x14ac:dyDescent="0.3">
      <c r="A63" s="19"/>
      <c r="B63" s="16" t="str">
        <f>TEXT(Transactions!$A63,"mmmm")</f>
        <v>January</v>
      </c>
      <c r="C63" s="17"/>
      <c r="D63" s="16"/>
      <c r="E63" s="16"/>
      <c r="F63" s="16"/>
      <c r="G63" s="16"/>
      <c r="H63" s="16"/>
      <c r="I63" s="16"/>
      <c r="J63" s="16"/>
    </row>
    <row r="64" spans="1:10" x14ac:dyDescent="0.3">
      <c r="A64" s="18"/>
      <c r="B64" s="13" t="str">
        <f>TEXT(Transactions!$A64,"mmmm")</f>
        <v>January</v>
      </c>
      <c r="C64" s="14"/>
      <c r="D64" s="13"/>
      <c r="E64" s="13"/>
      <c r="F64" s="13"/>
      <c r="G64" s="13"/>
      <c r="H64" s="13"/>
      <c r="I64" s="13"/>
      <c r="J64" s="13"/>
    </row>
    <row r="65" spans="1:10" x14ac:dyDescent="0.3">
      <c r="A65" s="19"/>
      <c r="B65" s="16" t="str">
        <f>TEXT(Transactions!$A65,"mmmm")</f>
        <v>January</v>
      </c>
      <c r="C65" s="17"/>
      <c r="D65" s="16"/>
      <c r="E65" s="16"/>
      <c r="F65" s="16"/>
      <c r="G65" s="16"/>
      <c r="H65" s="16"/>
      <c r="I65" s="16"/>
      <c r="J65" s="16"/>
    </row>
    <row r="66" spans="1:10" x14ac:dyDescent="0.3">
      <c r="A66" s="18"/>
      <c r="B66" s="13" t="str">
        <f>TEXT(Transactions!$A66,"mmmm")</f>
        <v>January</v>
      </c>
      <c r="C66" s="14"/>
      <c r="D66" s="13"/>
      <c r="E66" s="13"/>
      <c r="F66" s="13"/>
      <c r="G66" s="13"/>
      <c r="H66" s="13"/>
      <c r="I66" s="13"/>
      <c r="J66" s="13"/>
    </row>
    <row r="67" spans="1:10" x14ac:dyDescent="0.3">
      <c r="A67" s="19"/>
      <c r="B67" s="16" t="str">
        <f>TEXT(Transactions!$A67,"mmmm")</f>
        <v>January</v>
      </c>
      <c r="C67" s="17"/>
      <c r="D67" s="16"/>
      <c r="E67" s="16"/>
      <c r="F67" s="16"/>
      <c r="G67" s="16"/>
      <c r="H67" s="16"/>
      <c r="I67" s="16"/>
      <c r="J67" s="16"/>
    </row>
    <row r="68" spans="1:10" x14ac:dyDescent="0.3">
      <c r="A68" s="18"/>
      <c r="B68" s="13" t="str">
        <f>TEXT(Transactions!$A68,"mmmm")</f>
        <v>January</v>
      </c>
      <c r="C68" s="14"/>
      <c r="D68" s="13"/>
      <c r="E68" s="13"/>
      <c r="F68" s="13"/>
      <c r="G68" s="13"/>
      <c r="H68" s="13"/>
      <c r="I68" s="13"/>
      <c r="J68" s="13"/>
    </row>
    <row r="69" spans="1:10" x14ac:dyDescent="0.3">
      <c r="A69" s="19"/>
      <c r="B69" s="16" t="str">
        <f>TEXT(Transactions!$A69,"mmmm")</f>
        <v>January</v>
      </c>
      <c r="C69" s="17"/>
      <c r="D69" s="16"/>
      <c r="E69" s="16"/>
      <c r="F69" s="16"/>
      <c r="G69" s="16"/>
      <c r="H69" s="16"/>
      <c r="I69" s="16"/>
      <c r="J69" s="16"/>
    </row>
    <row r="70" spans="1:10" x14ac:dyDescent="0.3">
      <c r="A70" s="18"/>
      <c r="B70" s="13" t="str">
        <f>TEXT(Transactions!$A70,"mmmm")</f>
        <v>January</v>
      </c>
      <c r="C70" s="14"/>
      <c r="D70" s="13"/>
      <c r="E70" s="13"/>
      <c r="F70" s="13"/>
      <c r="G70" s="13"/>
      <c r="H70" s="13"/>
      <c r="I70" s="13"/>
      <c r="J70" s="13"/>
    </row>
    <row r="71" spans="1:10" x14ac:dyDescent="0.3">
      <c r="A71" s="19"/>
      <c r="B71" s="16" t="str">
        <f>TEXT(Transactions!$A71,"mmmm")</f>
        <v>January</v>
      </c>
      <c r="C71" s="17"/>
      <c r="D71" s="16"/>
      <c r="E71" s="16"/>
      <c r="F71" s="16"/>
      <c r="G71" s="16"/>
      <c r="H71" s="16"/>
      <c r="I71" s="16"/>
      <c r="J71" s="16"/>
    </row>
    <row r="72" spans="1:10" x14ac:dyDescent="0.3">
      <c r="A72" s="18"/>
      <c r="B72" s="13" t="str">
        <f>TEXT(Transactions!$A72,"mmmm")</f>
        <v>January</v>
      </c>
      <c r="C72" s="14"/>
      <c r="D72" s="13"/>
      <c r="E72" s="13"/>
      <c r="F72" s="13"/>
      <c r="G72" s="13"/>
      <c r="H72" s="13"/>
      <c r="I72" s="13"/>
      <c r="J72" s="13"/>
    </row>
    <row r="73" spans="1:10" x14ac:dyDescent="0.3">
      <c r="A73" s="19"/>
      <c r="B73" s="16" t="str">
        <f>TEXT(Transactions!$A73,"mmmm")</f>
        <v>January</v>
      </c>
      <c r="C73" s="17"/>
      <c r="D73" s="16"/>
      <c r="E73" s="16"/>
      <c r="F73" s="16"/>
      <c r="G73" s="16"/>
      <c r="H73" s="16"/>
      <c r="I73" s="16"/>
      <c r="J73" s="16"/>
    </row>
    <row r="74" spans="1:10" x14ac:dyDescent="0.3">
      <c r="A74" s="18"/>
      <c r="B74" s="13" t="str">
        <f>TEXT(Transactions!$A74,"mmmm")</f>
        <v>January</v>
      </c>
      <c r="C74" s="14"/>
      <c r="D74" s="13"/>
      <c r="E74" s="13"/>
      <c r="F74" s="13"/>
      <c r="G74" s="13"/>
      <c r="H74" s="13"/>
      <c r="I74" s="13"/>
      <c r="J74" s="13"/>
    </row>
    <row r="75" spans="1:10" x14ac:dyDescent="0.3">
      <c r="A75" s="19"/>
      <c r="B75" s="16" t="str">
        <f>TEXT(Transactions!$A75,"mmmm")</f>
        <v>January</v>
      </c>
      <c r="C75" s="17"/>
      <c r="D75" s="16"/>
      <c r="E75" s="16"/>
      <c r="F75" s="16"/>
      <c r="G75" s="16"/>
      <c r="H75" s="16"/>
      <c r="I75" s="16"/>
      <c r="J75" s="16"/>
    </row>
    <row r="76" spans="1:10" x14ac:dyDescent="0.3">
      <c r="A76" s="18"/>
      <c r="B76" s="13" t="str">
        <f>TEXT(Transactions!$A76,"mmmm")</f>
        <v>January</v>
      </c>
      <c r="C76" s="14"/>
      <c r="D76" s="13"/>
      <c r="E76" s="13"/>
      <c r="F76" s="13"/>
      <c r="G76" s="13"/>
      <c r="H76" s="13"/>
      <c r="I76" s="13"/>
      <c r="J76" s="13"/>
    </row>
    <row r="77" spans="1:10" x14ac:dyDescent="0.3">
      <c r="A77" s="19"/>
      <c r="B77" s="16" t="str">
        <f>TEXT(Transactions!$A77,"mmmm")</f>
        <v>January</v>
      </c>
      <c r="C77" s="17"/>
      <c r="D77" s="16"/>
      <c r="E77" s="16"/>
      <c r="F77" s="16"/>
      <c r="G77" s="16"/>
      <c r="H77" s="16"/>
      <c r="I77" s="16"/>
      <c r="J77" s="16"/>
    </row>
    <row r="78" spans="1:10" x14ac:dyDescent="0.3">
      <c r="A78" s="18"/>
      <c r="B78" s="13" t="str">
        <f>TEXT(Transactions!$A78,"mmmm")</f>
        <v>January</v>
      </c>
      <c r="C78" s="14"/>
      <c r="D78" s="13"/>
      <c r="E78" s="13"/>
      <c r="F78" s="13"/>
      <c r="G78" s="13"/>
      <c r="H78" s="13"/>
      <c r="I78" s="13"/>
      <c r="J78" s="13"/>
    </row>
    <row r="79" spans="1:10" x14ac:dyDescent="0.3">
      <c r="A79" s="19"/>
      <c r="B79" s="16" t="str">
        <f>TEXT(Transactions!$A79,"mmmm")</f>
        <v>January</v>
      </c>
      <c r="C79" s="17"/>
      <c r="D79" s="16"/>
      <c r="E79" s="16"/>
      <c r="F79" s="16"/>
      <c r="G79" s="16"/>
      <c r="H79" s="16"/>
      <c r="I79" s="16"/>
      <c r="J79" s="16"/>
    </row>
    <row r="80" spans="1:10" x14ac:dyDescent="0.3">
      <c r="A80" s="18"/>
      <c r="B80" s="13" t="str">
        <f>TEXT(Transactions!$A80,"mmmm")</f>
        <v>January</v>
      </c>
      <c r="C80" s="14"/>
      <c r="D80" s="13"/>
      <c r="E80" s="13"/>
      <c r="F80" s="13"/>
      <c r="G80" s="13"/>
      <c r="H80" s="13"/>
      <c r="I80" s="13"/>
      <c r="J80" s="13"/>
    </row>
    <row r="81" spans="1:10" x14ac:dyDescent="0.3">
      <c r="A81" s="19"/>
      <c r="B81" s="16" t="str">
        <f>TEXT(Transactions!$A81,"mmmm")</f>
        <v>January</v>
      </c>
      <c r="C81" s="17"/>
      <c r="D81" s="16"/>
      <c r="E81" s="16"/>
      <c r="F81" s="16"/>
      <c r="G81" s="16"/>
      <c r="H81" s="16"/>
      <c r="I81" s="16"/>
      <c r="J81" s="16"/>
    </row>
    <row r="82" spans="1:10" x14ac:dyDescent="0.3">
      <c r="A82" s="18"/>
      <c r="B82" s="13" t="str">
        <f>TEXT(Transactions!$A82,"mmmm")</f>
        <v>January</v>
      </c>
      <c r="C82" s="14"/>
      <c r="D82" s="13"/>
      <c r="E82" s="13"/>
      <c r="F82" s="13"/>
      <c r="G82" s="13"/>
      <c r="H82" s="13"/>
      <c r="I82" s="13"/>
      <c r="J82" s="13"/>
    </row>
    <row r="83" spans="1:10" x14ac:dyDescent="0.3">
      <c r="A83" s="19"/>
      <c r="B83" s="16" t="str">
        <f>TEXT(Transactions!$A83,"mmmm")</f>
        <v>January</v>
      </c>
      <c r="C83" s="17"/>
      <c r="D83" s="16"/>
      <c r="E83" s="16"/>
      <c r="F83" s="16"/>
      <c r="G83" s="16"/>
      <c r="H83" s="16"/>
      <c r="I83" s="16"/>
      <c r="J83" s="16"/>
    </row>
    <row r="84" spans="1:10" x14ac:dyDescent="0.3">
      <c r="A84" s="18"/>
      <c r="B84" s="13" t="str">
        <f>TEXT(Transactions!$A84,"mmmm")</f>
        <v>January</v>
      </c>
      <c r="C84" s="14"/>
      <c r="D84" s="13"/>
      <c r="E84" s="13"/>
      <c r="F84" s="13"/>
      <c r="G84" s="13"/>
      <c r="H84" s="13"/>
      <c r="I84" s="13"/>
      <c r="J84" s="13"/>
    </row>
    <row r="85" spans="1:10" x14ac:dyDescent="0.3">
      <c r="A85" s="19"/>
      <c r="B85" s="16" t="str">
        <f>TEXT(Transactions!$A85,"mmmm")</f>
        <v>January</v>
      </c>
      <c r="C85" s="17"/>
      <c r="D85" s="16"/>
      <c r="E85" s="16"/>
      <c r="F85" s="16"/>
      <c r="G85" s="16"/>
      <c r="H85" s="16"/>
      <c r="I85" s="16"/>
      <c r="J85" s="16"/>
    </row>
    <row r="86" spans="1:10" x14ac:dyDescent="0.3">
      <c r="A86" s="18"/>
      <c r="B86" s="13" t="str">
        <f>TEXT(Transactions!$A86,"mmmm")</f>
        <v>January</v>
      </c>
      <c r="C86" s="14"/>
      <c r="D86" s="13"/>
      <c r="E86" s="13"/>
      <c r="F86" s="13"/>
      <c r="G86" s="13"/>
      <c r="H86" s="13"/>
      <c r="I86" s="13"/>
      <c r="J86" s="13"/>
    </row>
    <row r="87" spans="1:10" x14ac:dyDescent="0.3">
      <c r="A87" s="19"/>
      <c r="B87" s="16" t="str">
        <f>TEXT(Transactions!$A87,"mmmm")</f>
        <v>January</v>
      </c>
      <c r="C87" s="17"/>
      <c r="D87" s="16"/>
      <c r="E87" s="16"/>
      <c r="F87" s="16"/>
      <c r="G87" s="16"/>
      <c r="H87" s="16"/>
      <c r="I87" s="16"/>
      <c r="J87" s="16"/>
    </row>
    <row r="88" spans="1:10" x14ac:dyDescent="0.3">
      <c r="A88" s="18"/>
      <c r="B88" s="13" t="str">
        <f>TEXT(Transactions!$A88,"mmmm")</f>
        <v>January</v>
      </c>
      <c r="C88" s="14"/>
      <c r="D88" s="13"/>
      <c r="E88" s="13"/>
      <c r="F88" s="13"/>
      <c r="G88" s="13"/>
      <c r="H88" s="13"/>
      <c r="I88" s="13"/>
      <c r="J88" s="13"/>
    </row>
    <row r="89" spans="1:10" x14ac:dyDescent="0.3">
      <c r="A89" s="19"/>
      <c r="B89" s="16" t="str">
        <f>TEXT(Transactions!$A89,"mmmm")</f>
        <v>January</v>
      </c>
      <c r="C89" s="17"/>
      <c r="D89" s="16"/>
      <c r="E89" s="16"/>
      <c r="F89" s="16"/>
      <c r="G89" s="16"/>
      <c r="H89" s="16"/>
      <c r="I89" s="16"/>
      <c r="J89" s="16"/>
    </row>
    <row r="90" spans="1:10" x14ac:dyDescent="0.3">
      <c r="A90" s="18"/>
      <c r="B90" s="13" t="str">
        <f>TEXT(Transactions!$A90,"mmmm")</f>
        <v>January</v>
      </c>
      <c r="C90" s="14"/>
      <c r="D90" s="13"/>
      <c r="E90" s="13"/>
      <c r="F90" s="13"/>
      <c r="G90" s="13"/>
      <c r="H90" s="13"/>
      <c r="I90" s="13"/>
      <c r="J90" s="13"/>
    </row>
    <row r="91" spans="1:10" x14ac:dyDescent="0.3">
      <c r="A91" s="19"/>
      <c r="B91" s="16" t="str">
        <f>TEXT(Transactions!$A91,"mmmm")</f>
        <v>January</v>
      </c>
      <c r="C91" s="17"/>
      <c r="D91" s="16"/>
      <c r="E91" s="16"/>
      <c r="F91" s="16"/>
      <c r="G91" s="16"/>
      <c r="H91" s="16"/>
      <c r="I91" s="16"/>
      <c r="J91" s="16"/>
    </row>
    <row r="92" spans="1:10" x14ac:dyDescent="0.3">
      <c r="A92" s="18"/>
      <c r="B92" s="13" t="str">
        <f>TEXT(Transactions!$A92,"mmmm")</f>
        <v>January</v>
      </c>
      <c r="C92" s="14"/>
      <c r="D92" s="13"/>
      <c r="E92" s="13"/>
      <c r="F92" s="13"/>
      <c r="G92" s="13"/>
      <c r="H92" s="13"/>
      <c r="I92" s="13"/>
      <c r="J92" s="13"/>
    </row>
    <row r="93" spans="1:10" x14ac:dyDescent="0.3">
      <c r="A93" s="19"/>
      <c r="B93" s="16" t="str">
        <f>TEXT(Transactions!$A93,"mmmm")</f>
        <v>January</v>
      </c>
      <c r="C93" s="17"/>
      <c r="D93" s="16"/>
      <c r="E93" s="16"/>
      <c r="F93" s="16"/>
      <c r="G93" s="16"/>
      <c r="H93" s="16"/>
      <c r="I93" s="16"/>
      <c r="J93" s="16"/>
    </row>
    <row r="94" spans="1:10" x14ac:dyDescent="0.3">
      <c r="A94" s="18"/>
      <c r="B94" s="13" t="str">
        <f>TEXT(Transactions!$A94,"mmmm")</f>
        <v>January</v>
      </c>
      <c r="C94" s="14"/>
      <c r="D94" s="13"/>
      <c r="E94" s="13"/>
      <c r="F94" s="13"/>
      <c r="G94" s="13"/>
      <c r="H94" s="13"/>
      <c r="I94" s="13"/>
      <c r="J94" s="13"/>
    </row>
    <row r="95" spans="1:10" x14ac:dyDescent="0.3">
      <c r="A95" s="19"/>
      <c r="B95" s="16" t="str">
        <f>TEXT(Transactions!$A95,"mmmm")</f>
        <v>January</v>
      </c>
      <c r="C95" s="17"/>
      <c r="D95" s="16"/>
      <c r="E95" s="16"/>
      <c r="F95" s="16"/>
      <c r="G95" s="16"/>
      <c r="H95" s="16"/>
      <c r="I95" s="16"/>
      <c r="J95" s="16"/>
    </row>
    <row r="96" spans="1:10" x14ac:dyDescent="0.3">
      <c r="A96" s="18"/>
      <c r="B96" s="13" t="str">
        <f>TEXT(Transactions!$A96,"mmmm")</f>
        <v>January</v>
      </c>
      <c r="C96" s="14"/>
      <c r="D96" s="13"/>
      <c r="E96" s="13"/>
      <c r="F96" s="13"/>
      <c r="G96" s="13"/>
      <c r="H96" s="13"/>
      <c r="I96" s="13"/>
      <c r="J96" s="13"/>
    </row>
    <row r="97" spans="1:10" x14ac:dyDescent="0.3">
      <c r="A97" s="19"/>
      <c r="B97" s="16" t="str">
        <f>TEXT(Transactions!$A97,"mmmm")</f>
        <v>January</v>
      </c>
      <c r="C97" s="17"/>
      <c r="D97" s="16"/>
      <c r="E97" s="16"/>
      <c r="F97" s="16"/>
      <c r="G97" s="16"/>
      <c r="H97" s="16"/>
      <c r="I97" s="16"/>
      <c r="J97" s="16"/>
    </row>
    <row r="98" spans="1:10" x14ac:dyDescent="0.3">
      <c r="A98" s="18"/>
      <c r="B98" s="13" t="str">
        <f>TEXT(Transactions!$A98,"mmmm")</f>
        <v>January</v>
      </c>
      <c r="C98" s="14"/>
      <c r="D98" s="13"/>
      <c r="E98" s="13"/>
      <c r="F98" s="13"/>
      <c r="G98" s="13"/>
      <c r="H98" s="13"/>
      <c r="I98" s="13"/>
      <c r="J98" s="13"/>
    </row>
    <row r="99" spans="1:10" x14ac:dyDescent="0.3">
      <c r="A99" s="19"/>
      <c r="B99" s="16" t="str">
        <f>TEXT(Transactions!$A99,"mmmm")</f>
        <v>January</v>
      </c>
      <c r="C99" s="17"/>
      <c r="D99" s="16"/>
      <c r="E99" s="16"/>
      <c r="F99" s="16"/>
      <c r="G99" s="16"/>
      <c r="H99" s="16"/>
      <c r="I99" s="16"/>
      <c r="J99" s="16"/>
    </row>
    <row r="100" spans="1:10" x14ac:dyDescent="0.3">
      <c r="A100" s="11"/>
      <c r="B100" s="9" t="str">
        <f>TEXT(Transactions!$A100,"mmmm")</f>
        <v>January</v>
      </c>
      <c r="C100" s="10"/>
      <c r="D100" s="9"/>
      <c r="E100" s="9"/>
      <c r="F100" s="9"/>
      <c r="G100" s="9"/>
      <c r="H100" s="9"/>
      <c r="I100" s="9"/>
      <c r="J100" s="9"/>
    </row>
  </sheetData>
  <dataValidations count="6">
    <dataValidation type="list" allowBlank="1" showInputMessage="1" showErrorMessage="1" sqref="E1" xr:uid="{9774301C-2AE4-4A13-8C23-AC57606FCBC9}">
      <formula1>"Categories"</formula1>
    </dataValidation>
    <dataValidation type="list" allowBlank="1" showInputMessage="1" showErrorMessage="1" sqref="E2:E500" xr:uid="{F351657F-7FF6-476B-8DEF-E4153FC824E4}">
      <formula1>Categories</formula1>
    </dataValidation>
    <dataValidation type="list" allowBlank="1" showInputMessage="1" showErrorMessage="1" sqref="H2:H500" xr:uid="{CC2030DF-3576-465B-A1D1-F464C10A86A9}">
      <formula1>NeedWant</formula1>
    </dataValidation>
    <dataValidation type="list" allowBlank="1" showInputMessage="1" showErrorMessage="1" sqref="I2:I500" xr:uid="{A1F5D677-49A0-4615-B28C-DC4576B7E867}">
      <formula1>PaymentMode</formula1>
    </dataValidation>
    <dataValidation type="list" allowBlank="1" showInputMessage="1" showErrorMessage="1" sqref="D2:D500" xr:uid="{5C0D355D-1444-4957-8A8D-37402B162BA2}">
      <formula1>TransactionType</formula1>
    </dataValidation>
    <dataValidation type="list" allowBlank="1" showInputMessage="1" showErrorMessage="1" sqref="J2:J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0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SUM(Transactions!$G$2:$G$100)</f>
        <v>260</v>
      </c>
    </row>
    <row r="13" spans="1:2" x14ac:dyDescent="0.3">
      <c r="A13" s="1" t="s">
        <v>38</v>
      </c>
      <c r="B13" s="6">
        <f>SUMIF(Transactions!$H$2:$H$100,"Need",Transactions!$G$2:$G$100)</f>
        <v>0</v>
      </c>
    </row>
    <row r="14" spans="1:2" x14ac:dyDescent="0.3">
      <c r="A14" s="1" t="s">
        <v>39</v>
      </c>
      <c r="B14" s="6">
        <f>SUMIF(Transactions!$H$2:$H$100,"Want",Transactions!$G$2:$G$100)</f>
        <v>260</v>
      </c>
    </row>
    <row r="15" spans="1:2" x14ac:dyDescent="0.3">
      <c r="A15" s="1" t="s">
        <v>40</v>
      </c>
      <c r="B15" s="6">
        <f>SUMIF(Transactions!$E$2:$E$100,"Food",Transactions!$G$2:$G$100)</f>
        <v>260</v>
      </c>
    </row>
    <row r="16" spans="1:2" x14ac:dyDescent="0.3">
      <c r="A16" s="1" t="s">
        <v>41</v>
      </c>
      <c r="B16" s="6">
        <f>SUMIF(Transactions!$E$2:$E$100,"Travel",Transactions!$G$2:$G$100)</f>
        <v>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21740</v>
      </c>
    </row>
    <row r="22" spans="1:2" x14ac:dyDescent="0.3">
      <c r="A22" s="1" t="s">
        <v>49</v>
      </c>
      <c r="B22" s="1">
        <f>B21/B7%</f>
        <v>98.818181818181813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206</v>
      </c>
      <c r="B27" s="25">
        <f>SUM(FinancialCommitments[Remaining])</f>
        <v>11000</v>
      </c>
    </row>
    <row r="29" spans="1:2" x14ac:dyDescent="0.3">
      <c r="A29" t="s">
        <v>207</v>
      </c>
      <c r="B29" s="26">
        <f>1-(SUM(FinancialCommitments[Remaining])/SUM(FinancialCommitments[Amount]))</f>
        <v>0.15384615384615385</v>
      </c>
    </row>
    <row r="31" spans="1:2" x14ac:dyDescent="0.3">
      <c r="A31" t="s">
        <v>208</v>
      </c>
      <c r="B31" s="7">
        <f>B21-B27</f>
        <v>10740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I4"/>
  <sheetViews>
    <sheetView tabSelected="1" workbookViewId="0">
      <selection activeCell="K7" sqref="K7"/>
    </sheetView>
  </sheetViews>
  <sheetFormatPr defaultRowHeight="14.4" x14ac:dyDescent="0.3"/>
  <cols>
    <col min="4" max="4" width="13" style="31" customWidth="1"/>
    <col min="5" max="5" width="9.44140625" style="31" bestFit="1" customWidth="1"/>
    <col min="6" max="6" width="11.6640625" style="31" customWidth="1"/>
    <col min="7" max="7" width="10.33203125" customWidth="1"/>
  </cols>
  <sheetData>
    <row r="1" spans="1:9" x14ac:dyDescent="0.3">
      <c r="A1" t="s">
        <v>192</v>
      </c>
      <c r="B1" t="s">
        <v>193</v>
      </c>
      <c r="C1" t="s">
        <v>66</v>
      </c>
      <c r="D1" s="31" t="s">
        <v>2</v>
      </c>
      <c r="E1" s="31" t="s">
        <v>194</v>
      </c>
      <c r="F1" s="31" t="s">
        <v>195</v>
      </c>
      <c r="G1" t="s">
        <v>196</v>
      </c>
      <c r="H1" t="s">
        <v>130</v>
      </c>
      <c r="I1" t="s">
        <v>57</v>
      </c>
    </row>
    <row r="2" spans="1:9" x14ac:dyDescent="0.3">
      <c r="A2" s="24">
        <v>46204</v>
      </c>
      <c r="B2" t="s">
        <v>197</v>
      </c>
      <c r="C2" t="s">
        <v>198</v>
      </c>
      <c r="D2" s="31">
        <v>10000</v>
      </c>
      <c r="E2" s="31">
        <v>0</v>
      </c>
      <c r="F2" s="31">
        <v>10000</v>
      </c>
      <c r="G2" t="s">
        <v>199</v>
      </c>
      <c r="H2" t="s">
        <v>200</v>
      </c>
      <c r="I2" t="s">
        <v>201</v>
      </c>
    </row>
    <row r="3" spans="1:9" x14ac:dyDescent="0.3">
      <c r="A3" s="24">
        <v>46206</v>
      </c>
      <c r="B3" t="s">
        <v>202</v>
      </c>
      <c r="C3" t="s">
        <v>203</v>
      </c>
      <c r="D3" s="31">
        <v>2000</v>
      </c>
      <c r="E3" s="31">
        <v>1000</v>
      </c>
      <c r="F3" s="31">
        <v>1000</v>
      </c>
      <c r="G3" s="24">
        <v>46249</v>
      </c>
      <c r="H3" t="s">
        <v>200</v>
      </c>
      <c r="I3" t="s">
        <v>204</v>
      </c>
    </row>
    <row r="4" spans="1:9" x14ac:dyDescent="0.3">
      <c r="A4" s="24">
        <v>46208</v>
      </c>
      <c r="B4" t="s">
        <v>224</v>
      </c>
      <c r="C4" t="s">
        <v>203</v>
      </c>
      <c r="D4" s="31">
        <v>1000</v>
      </c>
      <c r="E4" s="31">
        <v>1000</v>
      </c>
      <c r="F4" s="31">
        <v>0</v>
      </c>
      <c r="G4" s="24">
        <v>46209</v>
      </c>
      <c r="H4" t="s">
        <v>223</v>
      </c>
      <c r="I4" t="s">
        <v>201</v>
      </c>
    </row>
  </sheetData>
  <dataValidations count="2">
    <dataValidation type="list" allowBlank="1" showInputMessage="1" showErrorMessage="1" sqref="C1:C1048576" xr:uid="{C13FD2A8-23CC-45C1-BECC-766CFBB6D4A6}">
      <formula1>LoanType</formula1>
    </dataValidation>
    <dataValidation type="list" allowBlank="1" showInputMessage="1" showErrorMessage="1" sqref="H1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A2" sqref="A2:G4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ht="28.8" x14ac:dyDescent="0.3">
      <c r="A2" s="29">
        <v>46204</v>
      </c>
      <c r="B2" s="27" t="s">
        <v>127</v>
      </c>
      <c r="C2" s="27" t="s">
        <v>209</v>
      </c>
      <c r="D2" s="28">
        <v>22000</v>
      </c>
      <c r="E2" s="27" t="s">
        <v>210</v>
      </c>
      <c r="F2" s="27" t="s">
        <v>75</v>
      </c>
      <c r="G2" s="27" t="s">
        <v>211</v>
      </c>
    </row>
    <row r="3" spans="1:7" ht="28.8" x14ac:dyDescent="0.3">
      <c r="A3" s="29">
        <v>46218</v>
      </c>
      <c r="B3" s="27" t="s">
        <v>96</v>
      </c>
      <c r="C3" s="27" t="s">
        <v>212</v>
      </c>
      <c r="D3" s="28">
        <v>5000</v>
      </c>
      <c r="E3" s="27" t="s">
        <v>141</v>
      </c>
      <c r="F3" s="27" t="s">
        <v>76</v>
      </c>
      <c r="G3" s="27" t="s">
        <v>213</v>
      </c>
    </row>
    <row r="4" spans="1:7" ht="28.8" x14ac:dyDescent="0.3">
      <c r="A4" s="29">
        <v>46223</v>
      </c>
      <c r="B4" s="27" t="s">
        <v>214</v>
      </c>
      <c r="C4" s="27" t="s">
        <v>215</v>
      </c>
      <c r="D4" s="28">
        <v>2000</v>
      </c>
      <c r="E4" s="27" t="s">
        <v>210</v>
      </c>
      <c r="F4" s="27" t="s">
        <v>76</v>
      </c>
      <c r="G4" s="27" t="s">
        <v>202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23">
        <v>8600</v>
      </c>
      <c r="J9" t="s">
        <v>114</v>
      </c>
    </row>
    <row r="10" spans="1:10" x14ac:dyDescent="0.3">
      <c r="A10" s="1" t="s">
        <v>86</v>
      </c>
      <c r="B10" s="23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19"/>
  <sheetViews>
    <sheetView workbookViewId="0">
      <selection activeCell="I7" sqref="I7:I8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210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209</v>
      </c>
      <c r="I7" t="s">
        <v>200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223</v>
      </c>
      <c r="K8" t="s">
        <v>137</v>
      </c>
    </row>
    <row r="9" spans="1:17" x14ac:dyDescent="0.3">
      <c r="A9" t="s">
        <v>33</v>
      </c>
      <c r="C9" t="s">
        <v>216</v>
      </c>
      <c r="K9" t="s">
        <v>139</v>
      </c>
    </row>
    <row r="10" spans="1:17" x14ac:dyDescent="0.3">
      <c r="A10" t="s">
        <v>71</v>
      </c>
      <c r="C10" t="s">
        <v>217</v>
      </c>
      <c r="K10" t="s">
        <v>140</v>
      </c>
    </row>
    <row r="11" spans="1:17" x14ac:dyDescent="0.3">
      <c r="A11" t="s">
        <v>72</v>
      </c>
      <c r="C11" t="s">
        <v>218</v>
      </c>
    </row>
    <row r="12" spans="1:17" x14ac:dyDescent="0.3">
      <c r="A12" t="s">
        <v>73</v>
      </c>
      <c r="C12" t="s">
        <v>219</v>
      </c>
    </row>
    <row r="13" spans="1:17" x14ac:dyDescent="0.3">
      <c r="A13" t="s">
        <v>69</v>
      </c>
      <c r="C13" t="s">
        <v>220</v>
      </c>
    </row>
    <row r="14" spans="1:17" x14ac:dyDescent="0.3">
      <c r="A14" t="s">
        <v>74</v>
      </c>
      <c r="C14" t="s">
        <v>215</v>
      </c>
    </row>
    <row r="15" spans="1:17" x14ac:dyDescent="0.3">
      <c r="A15" t="s">
        <v>34</v>
      </c>
      <c r="C15" t="s">
        <v>221</v>
      </c>
    </row>
    <row r="16" spans="1:17" x14ac:dyDescent="0.3">
      <c r="C16" t="s">
        <v>34</v>
      </c>
    </row>
    <row r="17" spans="1:1" x14ac:dyDescent="0.3">
      <c r="A17" t="s">
        <v>198</v>
      </c>
    </row>
    <row r="18" spans="1:1" x14ac:dyDescent="0.3">
      <c r="A18" t="s">
        <v>203</v>
      </c>
    </row>
    <row r="19" spans="1:1" x14ac:dyDescent="0.3">
      <c r="A19" t="s">
        <v>205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13</vt:i4>
      </vt:variant>
    </vt:vector>
  </HeadingPairs>
  <TitlesOfParts>
    <vt:vector size="24" baseType="lpstr">
      <vt:lpstr>Plan</vt:lpstr>
      <vt:lpstr>Transactions</vt:lpstr>
      <vt:lpstr>Dashboard</vt:lpstr>
      <vt:lpstr>Monthly Review</vt:lpstr>
      <vt:lpstr>Skill Tracker</vt:lpstr>
      <vt:lpstr>Financial Commitments</vt:lpstr>
      <vt:lpstr>Income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2026-07-01T20:06:02Z</dcterms:modified>
</cp:coreProperties>
</file>