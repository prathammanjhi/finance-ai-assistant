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tham OS\Development\Finance-AI\data\"/>
    </mc:Choice>
  </mc:AlternateContent>
  <xr:revisionPtr revIDLastSave="0" documentId="13_ncr:1_{7ED00688-9096-4D04-A468-E24B7648A096}" xr6:coauthVersionLast="47" xr6:coauthVersionMax="47" xr10:uidLastSave="{00000000-0000-0000-0000-000000000000}"/>
  <bookViews>
    <workbookView xWindow="-108" yWindow="-108" windowWidth="23256" windowHeight="12456" tabRatio="855" firstSheet="5" activeTab="10" xr2:uid="{D6DE1A26-0963-4585-A363-547897EAF3B2}"/>
  </bookViews>
  <sheets>
    <sheet name="Plan" sheetId="1" r:id="rId1"/>
    <sheet name="Transactions" sheetId="2" r:id="rId2"/>
    <sheet name="Budget Sheet" sheetId="13" r:id="rId3"/>
    <sheet name="Financial Commitments" sheetId="10" r:id="rId4"/>
    <sheet name="Dashboard" sheetId="4" r:id="rId5"/>
    <sheet name="Monthly Review" sheetId="5" r:id="rId6"/>
    <sheet name="Skill Tracker" sheetId="9" r:id="rId7"/>
    <sheet name="Income" sheetId="11" r:id="rId8"/>
    <sheet name="Financial Goals" sheetId="16" r:id="rId9"/>
    <sheet name="Investments" sheetId="17" r:id="rId10"/>
    <sheet name="Liabilities" sheetId="19" r:id="rId11"/>
    <sheet name="Assets" sheetId="18" r:id="rId12"/>
    <sheet name="Income engine" sheetId="6" r:id="rId13"/>
    <sheet name="Carrer Tracker" sheetId="7" r:id="rId14"/>
    <sheet name="Interview Prep" sheetId="8" r:id="rId15"/>
    <sheet name="Lists" sheetId="3" r:id="rId16"/>
  </sheets>
  <definedNames>
    <definedName name="AppliedStatus">Lists!$K$1:$K$10</definedName>
    <definedName name="Categoreis">Lists!#REF!</definedName>
    <definedName name="Categories">Lists!$A$1:$A$15</definedName>
    <definedName name="Choice">Lists!$I$1:$I$2</definedName>
    <definedName name="CommitmentStatus">Lists!$I$7:$I$8</definedName>
    <definedName name="GoalStatus">Lists!$G$10:$G$13</definedName>
    <definedName name="GoalType">Lists!$E$10:$E$16</definedName>
    <definedName name="IncomeCategory">Lists!$C$7:$C$16</definedName>
    <definedName name="IncomeStatus">Lists!$I$4:$I$5</definedName>
    <definedName name="InterviewResult">Lists!$M$1:$M$3</definedName>
    <definedName name="InterviewRound">Lists!$O$1:$O$5</definedName>
    <definedName name="LiabilityType">Lists!$I$15:$I$25</definedName>
    <definedName name="LoanCategory">Lists!$J$15:$J$25</definedName>
    <definedName name="LoanType">Lists!$A$18:$A$23</definedName>
    <definedName name="NeedWant">Lists!$C$1:$C$2</definedName>
    <definedName name="NextAction">Lists!$Q$1:$Q$7</definedName>
    <definedName name="PaymentMode">Lists!$E$1:$E$4</definedName>
    <definedName name="Priority">Lists!$F$10:$F$12</definedName>
    <definedName name="TransactionTe">Lists!#REF!</definedName>
    <definedName name="TransactionType">Lists!$G$1:$G$4</definedName>
    <definedName name="v">Lists!#REF!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4" l="1"/>
  <c r="B27" i="4"/>
  <c r="B7" i="4"/>
  <c r="B16" i="4"/>
  <c r="B15" i="4"/>
  <c r="B14" i="4"/>
  <c r="B13" i="4"/>
  <c r="B12" i="4"/>
  <c r="B21" i="4" s="1"/>
  <c r="B30" i="1"/>
  <c r="B12" i="1"/>
  <c r="B19" i="1" s="1"/>
  <c r="C19" i="1" s="1"/>
  <c r="B31" i="4" l="1"/>
  <c r="B24" i="4"/>
  <c r="B23" i="4"/>
  <c r="B22" i="4"/>
  <c r="B17" i="1"/>
  <c r="C17" i="1" s="1"/>
  <c r="B18" i="1"/>
  <c r="C18" i="1" s="1"/>
</calcChain>
</file>

<file path=xl/sharedStrings.xml><?xml version="1.0" encoding="utf-8"?>
<sst xmlns="http://schemas.openxmlformats.org/spreadsheetml/2006/main" count="408" uniqueCount="271">
  <si>
    <t>August Financial Plan</t>
  </si>
  <si>
    <t>Item</t>
  </si>
  <si>
    <t>Amount</t>
  </si>
  <si>
    <t>Salary(TP)</t>
  </si>
  <si>
    <t>Salary(TaskUS)</t>
  </si>
  <si>
    <t>Salary(R1M)</t>
  </si>
  <si>
    <t>EMI</t>
  </si>
  <si>
    <t>Rent</t>
  </si>
  <si>
    <t xml:space="preserve">Food </t>
  </si>
  <si>
    <t>Travel</t>
  </si>
  <si>
    <t>Total Expenses</t>
  </si>
  <si>
    <t>Scenario</t>
  </si>
  <si>
    <t>Money Left</t>
  </si>
  <si>
    <t>TP</t>
  </si>
  <si>
    <t>TaskUS</t>
  </si>
  <si>
    <t>R1M</t>
  </si>
  <si>
    <t>Misc</t>
  </si>
  <si>
    <t>Freelance Goal</t>
  </si>
  <si>
    <t>Emergency Fund Goal</t>
  </si>
  <si>
    <t>Interviews this month</t>
  </si>
  <si>
    <t>Content Income Goal</t>
  </si>
  <si>
    <t>With Freelance</t>
  </si>
  <si>
    <t>GOAL</t>
  </si>
  <si>
    <t>Required Freelance</t>
  </si>
  <si>
    <t>Category</t>
  </si>
  <si>
    <t xml:space="preserve">Description </t>
  </si>
  <si>
    <t>Need/Want</t>
  </si>
  <si>
    <t>Date</t>
  </si>
  <si>
    <t>Food</t>
  </si>
  <si>
    <t>Shopping</t>
  </si>
  <si>
    <t>Entertainment</t>
  </si>
  <si>
    <t>Health</t>
  </si>
  <si>
    <t>Education</t>
  </si>
  <si>
    <t>Family</t>
  </si>
  <si>
    <t>Other</t>
  </si>
  <si>
    <t xml:space="preserve">Need </t>
  </si>
  <si>
    <t>Want</t>
  </si>
  <si>
    <t>Pratham Finance Dashboard</t>
  </si>
  <si>
    <t>Total Need Spend</t>
  </si>
  <si>
    <t>Total Want Spend</t>
  </si>
  <si>
    <t>Food Spending</t>
  </si>
  <si>
    <t>Travel Spending</t>
  </si>
  <si>
    <t>Current Balance</t>
  </si>
  <si>
    <t>INCOME</t>
  </si>
  <si>
    <t>Selected Salary</t>
  </si>
  <si>
    <t>Freelance Income</t>
  </si>
  <si>
    <t>Total Income</t>
  </si>
  <si>
    <t>Expenses</t>
  </si>
  <si>
    <t>Summary</t>
  </si>
  <si>
    <t>Savings Rate</t>
  </si>
  <si>
    <t>Financial Health</t>
  </si>
  <si>
    <t>Budget Status</t>
  </si>
  <si>
    <t>Month</t>
  </si>
  <si>
    <t>Highest Spending Category</t>
  </si>
  <si>
    <t>Biggest Expense</t>
  </si>
  <si>
    <t>Total Transactions</t>
  </si>
  <si>
    <t>Average Daily Spend</t>
  </si>
  <si>
    <t>Notes</t>
  </si>
  <si>
    <t>📌 Wins This Month</t>
  </si>
  <si>
    <t>⚠️ Mistakes</t>
  </si>
  <si>
    <t>🎯 Goals For Next Month</t>
  </si>
  <si>
    <t>Payment Mode</t>
  </si>
  <si>
    <t>Cash</t>
  </si>
  <si>
    <t>UPI</t>
  </si>
  <si>
    <t>Card</t>
  </si>
  <si>
    <t>Bank Transfer</t>
  </si>
  <si>
    <t>Type</t>
  </si>
  <si>
    <t>Expense</t>
  </si>
  <si>
    <t>Income</t>
  </si>
  <si>
    <t>Investment</t>
  </si>
  <si>
    <t>Transfer</t>
  </si>
  <si>
    <t>Business</t>
  </si>
  <si>
    <t>Software</t>
  </si>
  <si>
    <t>Subscription</t>
  </si>
  <si>
    <t>Freelance Expense</t>
  </si>
  <si>
    <t>Yes</t>
  </si>
  <si>
    <t>No</t>
  </si>
  <si>
    <t>Recurring</t>
  </si>
  <si>
    <t>Year</t>
  </si>
  <si>
    <t>Current Situation</t>
  </si>
  <si>
    <t xml:space="preserve">Item </t>
  </si>
  <si>
    <t>Value</t>
  </si>
  <si>
    <t>Age</t>
  </si>
  <si>
    <t>Laptop</t>
  </si>
  <si>
    <t>Experience</t>
  </si>
  <si>
    <t>Location</t>
  </si>
  <si>
    <t>Emergency Fund</t>
  </si>
  <si>
    <t>LOQ 5050</t>
  </si>
  <si>
    <t>HealthCare Verification</t>
  </si>
  <si>
    <t>Indore</t>
  </si>
  <si>
    <t>Income Sources</t>
  </si>
  <si>
    <t>Source</t>
  </si>
  <si>
    <t>Probability</t>
  </si>
  <si>
    <t>Time</t>
  </si>
  <si>
    <t>Monthly Income</t>
  </si>
  <si>
    <t>Priority</t>
  </si>
  <si>
    <t>Freelancing</t>
  </si>
  <si>
    <t>Content</t>
  </si>
  <si>
    <t>High</t>
  </si>
  <si>
    <t>Medium</t>
  </si>
  <si>
    <t>Low(initially)</t>
  </si>
  <si>
    <t xml:space="preserve">Low </t>
  </si>
  <si>
    <t>Immediate</t>
  </si>
  <si>
    <t>1-2 Week</t>
  </si>
  <si>
    <t>1-3 Month</t>
  </si>
  <si>
    <t>6-12 Month</t>
  </si>
  <si>
    <t>Variable</t>
  </si>
  <si>
    <t>⭐⭐⭐⭐⭐</t>
  </si>
  <si>
    <t>⭐⭐⭐⭐</t>
  </si>
  <si>
    <t>⭐⭐⭐</t>
  </si>
  <si>
    <t>⭐⭐</t>
  </si>
  <si>
    <t>Level 1</t>
  </si>
  <si>
    <t>JOB</t>
  </si>
  <si>
    <t>↓</t>
  </si>
  <si>
    <t>Level 2</t>
  </si>
  <si>
    <t>FREELANCING</t>
  </si>
  <si>
    <t>Level 3</t>
  </si>
  <si>
    <t>CONTENT</t>
  </si>
  <si>
    <t>Level 4</t>
  </si>
  <si>
    <t>AGENCY</t>
  </si>
  <si>
    <t>Level 5</t>
  </si>
  <si>
    <t>PRODUCTS</t>
  </si>
  <si>
    <t>Level 6</t>
  </si>
  <si>
    <t>INVESTMENTS</t>
  </si>
  <si>
    <t>Job Pyramid</t>
  </si>
  <si>
    <t>Company</t>
  </si>
  <si>
    <t xml:space="preserve">Role </t>
  </si>
  <si>
    <t>Salary</t>
  </si>
  <si>
    <t>Applied Date</t>
  </si>
  <si>
    <t>Interview Date</t>
  </si>
  <si>
    <t>Status</t>
  </si>
  <si>
    <t>Result</t>
  </si>
  <si>
    <t>To Apply</t>
  </si>
  <si>
    <t>Applied</t>
  </si>
  <si>
    <t>HR Round</t>
  </si>
  <si>
    <t>Assessment</t>
  </si>
  <si>
    <t>Interview Scheduled</t>
  </si>
  <si>
    <t>Selected</t>
  </si>
  <si>
    <t>Offer Received</t>
  </si>
  <si>
    <t>Rejected</t>
  </si>
  <si>
    <t>On Hold</t>
  </si>
  <si>
    <t>Pending</t>
  </si>
  <si>
    <t>Flipkart L2</t>
  </si>
  <si>
    <t>Any</t>
  </si>
  <si>
    <t>RM</t>
  </si>
  <si>
    <t>Softstandard</t>
  </si>
  <si>
    <t>Sourcing</t>
  </si>
  <si>
    <t>Total Companies</t>
  </si>
  <si>
    <t>Interviews</t>
  </si>
  <si>
    <t>Offers</t>
  </si>
  <si>
    <t>Rejections</t>
  </si>
  <si>
    <t>Topic</t>
  </si>
  <si>
    <t>Revision Date</t>
  </si>
  <si>
    <t>Confidence( /10)</t>
  </si>
  <si>
    <t>Introduction</t>
  </si>
  <si>
    <t>Tell me about yourself</t>
  </si>
  <si>
    <t>Strengths</t>
  </si>
  <si>
    <t>Weaknesses</t>
  </si>
  <si>
    <t>HR Questions</t>
  </si>
  <si>
    <t>TP Questions</t>
  </si>
  <si>
    <t>TaskUS Questions</t>
  </si>
  <si>
    <t>R1M Questions</t>
  </si>
  <si>
    <t>Resume</t>
  </si>
  <si>
    <t>Salary Negotiation</t>
  </si>
  <si>
    <t>Skill</t>
  </si>
  <si>
    <t>Current</t>
  </si>
  <si>
    <t>Target</t>
  </si>
  <si>
    <t xml:space="preserve">Progress </t>
  </si>
  <si>
    <t>Last Practiced</t>
  </si>
  <si>
    <t>Excel</t>
  </si>
  <si>
    <t>Communication</t>
  </si>
  <si>
    <t>AI</t>
  </si>
  <si>
    <t>Git</t>
  </si>
  <si>
    <t>GitHub</t>
  </si>
  <si>
    <t>React</t>
  </si>
  <si>
    <t>Python</t>
  </si>
  <si>
    <t>Prompt Engineering</t>
  </si>
  <si>
    <t>UI/UX</t>
  </si>
  <si>
    <t>Interview Round</t>
  </si>
  <si>
    <t>Next Action</t>
  </si>
  <si>
    <t>HR</t>
  </si>
  <si>
    <t>Final</t>
  </si>
  <si>
    <t>Wait</t>
  </si>
  <si>
    <t>Final Round</t>
  </si>
  <si>
    <t>NA</t>
  </si>
  <si>
    <t>Operations</t>
  </si>
  <si>
    <t>Apply</t>
  </si>
  <si>
    <t>Follow Up</t>
  </si>
  <si>
    <t>Prepare</t>
  </si>
  <si>
    <t>Attend Interview</t>
  </si>
  <si>
    <t>Submit Documents</t>
  </si>
  <si>
    <t>Joined</t>
  </si>
  <si>
    <t>From</t>
  </si>
  <si>
    <t>Repaid</t>
  </si>
  <si>
    <t>Remaining</t>
  </si>
  <si>
    <t>Due Date</t>
  </si>
  <si>
    <t>Family Loan</t>
  </si>
  <si>
    <t>Active</t>
  </si>
  <si>
    <t>Vivek</t>
  </si>
  <si>
    <t>Friend Loan</t>
  </si>
  <si>
    <t>Credit Card</t>
  </si>
  <si>
    <t>Outstanding Commitments</t>
  </si>
  <si>
    <t>Debt Free Progress</t>
  </si>
  <si>
    <t>Net Positions</t>
  </si>
  <si>
    <t>Job</t>
  </si>
  <si>
    <t>Received</t>
  </si>
  <si>
    <t>First Salary</t>
  </si>
  <si>
    <t>Video Editing</t>
  </si>
  <si>
    <t>Client A</t>
  </si>
  <si>
    <t>Friend Returned</t>
  </si>
  <si>
    <t>Recovery</t>
  </si>
  <si>
    <t>Agency</t>
  </si>
  <si>
    <t>Trading</t>
  </si>
  <si>
    <t>Affiliate</t>
  </si>
  <si>
    <t>Dividends</t>
  </si>
  <si>
    <t>Interest</t>
  </si>
  <si>
    <t>Gift</t>
  </si>
  <si>
    <t>Showerma with cousins</t>
  </si>
  <si>
    <t>Paid</t>
  </si>
  <si>
    <t>rapido</t>
  </si>
  <si>
    <t>breakfast</t>
  </si>
  <si>
    <t>Monthly_Budget</t>
  </si>
  <si>
    <t>commitment</t>
  </si>
  <si>
    <t>Fixed Expense</t>
  </si>
  <si>
    <t>Loan</t>
  </si>
  <si>
    <t>Total Amount</t>
  </si>
  <si>
    <t>Monthly Payment</t>
  </si>
  <si>
    <t xml:space="preserve">Start Date </t>
  </si>
  <si>
    <t>End Date</t>
  </si>
  <si>
    <t>Bajaj (Chacha Ji)</t>
  </si>
  <si>
    <t>Laptop EMI</t>
  </si>
  <si>
    <t>Goal</t>
  </si>
  <si>
    <t>Target Amount</t>
  </si>
  <si>
    <t>Current Amount</t>
  </si>
  <si>
    <t>Start Date</t>
  </si>
  <si>
    <t>Target Date</t>
  </si>
  <si>
    <t>Emergency</t>
  </si>
  <si>
    <t>Business Capital</t>
  </si>
  <si>
    <t>Bike</t>
  </si>
  <si>
    <t>Purchase</t>
  </si>
  <si>
    <t>Low</t>
  </si>
  <si>
    <t>Completed</t>
  </si>
  <si>
    <t>Paused</t>
  </si>
  <si>
    <t>Cancelled</t>
  </si>
  <si>
    <t>Purchase Date</t>
  </si>
  <si>
    <t>Platform</t>
  </si>
  <si>
    <t>Invested Amount</t>
  </si>
  <si>
    <t>Current Value</t>
  </si>
  <si>
    <t>Units</t>
  </si>
  <si>
    <t>Return</t>
  </si>
  <si>
    <t>Asset</t>
  </si>
  <si>
    <t>Purchase Value</t>
  </si>
  <si>
    <t>Electronics</t>
  </si>
  <si>
    <t>Vehicle</t>
  </si>
  <si>
    <t>Liability</t>
  </si>
  <si>
    <t>Original Loan</t>
  </si>
  <si>
    <t>Outstanding Balance</t>
  </si>
  <si>
    <t>Monthly EMI</t>
  </si>
  <si>
    <t>Intrest %</t>
  </si>
  <si>
    <t>Consumer Loan</t>
  </si>
  <si>
    <t>ICICI Credit Card</t>
  </si>
  <si>
    <t>SBI Home Loan</t>
  </si>
  <si>
    <t>Home Loan</t>
  </si>
  <si>
    <t>Car Loan</t>
  </si>
  <si>
    <t>Vehicle Loan</t>
  </si>
  <si>
    <t>Education Loan</t>
  </si>
  <si>
    <t>Business Loan</t>
  </si>
  <si>
    <t>Personal Loan</t>
  </si>
  <si>
    <t>Gold Loan</t>
  </si>
  <si>
    <t>BNPL</t>
  </si>
  <si>
    <t>Buy Now Pay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</si>
</sst>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/>
    <xf numFmtId="44" fontId="0" fillId="3" borderId="1" xfId="0" applyNumberFormat="1" applyFill="1" applyBorder="1"/>
    <xf numFmtId="44" fontId="0" fillId="4" borderId="1" xfId="0" applyNumberFormat="1" applyFill="1" applyBorder="1"/>
    <xf numFmtId="44" fontId="0" fillId="0" borderId="0" xfId="0" applyNumberFormat="1"/>
    <xf numFmtId="17" fontId="0" fillId="0" borderId="0" xfId="0" applyNumberFormat="1"/>
    <xf numFmtId="0" fontId="0" fillId="5" borderId="3" xfId="0" applyFill="1" applyBorder="1"/>
    <xf numFmtId="14" fontId="0" fillId="5" borderId="4" xfId="0" applyNumberFormat="1" applyFill="1" applyBorder="1"/>
    <xf numFmtId="0" fontId="0" fillId="5" borderId="5" xfId="0" applyFill="1" applyBorder="1"/>
    <xf numFmtId="14" fontId="0" fillId="0" borderId="4" xfId="0" applyNumberFormat="1" applyBorder="1"/>
    <xf numFmtId="0" fontId="0" fillId="0" borderId="5" xfId="0" applyBorder="1"/>
    <xf numFmtId="0" fontId="2" fillId="2" borderId="0" xfId="0" applyFont="1" applyFill="1"/>
    <xf numFmtId="6" fontId="0" fillId="0" borderId="1" xfId="0" applyNumberFormat="1" applyBorder="1"/>
    <xf numFmtId="6" fontId="0" fillId="0" borderId="0" xfId="0" applyNumberFormat="1"/>
    <xf numFmtId="10" fontId="0" fillId="0" borderId="0" xfId="1" applyNumberFormat="1" applyFon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5" fontId="0" fillId="0" borderId="0" xfId="0" applyNumberFormat="1" applyAlignment="1">
      <alignment vertical="center" wrapText="1"/>
    </xf>
    <xf numFmtId="164" fontId="0" fillId="0" borderId="0" xfId="0" applyNumberFormat="1"/>
    <xf numFmtId="164" fontId="2" fillId="2" borderId="0" xfId="0" applyNumberFormat="1" applyFont="1" applyFill="1"/>
    <xf numFmtId="164" fontId="0" fillId="5" borderId="5" xfId="0" applyNumberFormat="1" applyFill="1" applyBorder="1"/>
    <xf numFmtId="164" fontId="0" fillId="0" borderId="5" xfId="0" applyNumberFormat="1" applyBorder="1"/>
    <xf numFmtId="164" fontId="0" fillId="5" borderId="3" xfId="0" applyNumberFormat="1" applyFill="1" applyBorder="1"/>
    <xf numFmtId="14" fontId="2" fillId="2" borderId="6" xfId="0" applyNumberFormat="1" applyFont="1" applyFill="1" applyBorder="1"/>
    <xf numFmtId="14" fontId="0" fillId="5" borderId="2" xfId="0" applyNumberFormat="1" applyFill="1" applyBorder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0" formatCode="&quot;₹&quot;\ #,##0;[Red]&quot;₹&quot;\ \-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164" formatCode="&quot;₹&quot;\ #,##0.00"/>
    </dxf>
    <dxf>
      <numFmt numFmtId="19" formatCode="dd/mm/yyyy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67FA3-A40A-4607-BCB9-468A9ECB0007}" name="Table1" displayName="Table1" ref="A1:H1048576" totalsRowShown="0" headerRowDxfId="37" tableBorderDxfId="36">
  <autoFilter ref="A1:H1048576" xr:uid="{42D67FA3-A40A-4607-BCB9-468A9ECB0007}"/>
  <tableColumns count="8">
    <tableColumn id="1" xr3:uid="{1D37F906-33D7-46E6-8270-56D5EEA80EC7}" name="Date" dataDxfId="35"/>
    <tableColumn id="4" xr3:uid="{E805A8A8-660D-4099-912A-BE1B697553ED}" name="Type"/>
    <tableColumn id="5" xr3:uid="{ABF1E4D7-7922-479D-94F4-994DCBA1062D}" name="Category"/>
    <tableColumn id="6" xr3:uid="{E21EA904-BC60-4EB5-B4BD-249E5A12FC76}" name="Description "/>
    <tableColumn id="7" xr3:uid="{EFA172CE-B81A-4A83-BB09-0C52BED62422}" name="Amount" dataDxfId="34"/>
    <tableColumn id="8" xr3:uid="{E811D3EB-DAD5-46D9-B70D-01072B332F5C}" name="Need/Want"/>
    <tableColumn id="9" xr3:uid="{1E8766C9-2C6F-4CE3-9C7E-C6C8545D3945}" name="Payment Mode"/>
    <tableColumn id="10" xr3:uid="{BA26CD78-BAFB-4644-808D-0A18546F6CAF}" name="Recur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4CD917-42D7-44E9-889E-B87F7E170616}" name="Table5" displayName="Table5" ref="A1:C100" totalsRowShown="0">
  <autoFilter ref="A1:C100" xr:uid="{204CD917-42D7-44E9-889E-B87F7E170616}"/>
  <tableColumns count="3">
    <tableColumn id="1" xr3:uid="{CCD99EA9-9CA0-4F69-8282-1EE2E5FE7967}" name="Month" dataDxfId="33"/>
    <tableColumn id="2" xr3:uid="{5C307EC1-8BAE-4B8C-AF42-D468202B7A5E}" name="Year"/>
    <tableColumn id="3" xr3:uid="{2B3569FD-9348-4E00-BFEA-53DF4F58E82C}" name="Monthly_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BBFA5-5EA2-4DA5-91C7-5EE90985F084}" name="FinancialCommitments" displayName="FinancialCommitments" ref="A1:K46" totalsRowShown="0">
  <autoFilter ref="A1:K46" xr:uid="{1AFBBFA5-5EA2-4DA5-91C7-5EE90985F084}"/>
  <tableColumns count="11">
    <tableColumn id="1" xr3:uid="{C10697DD-F282-4D7F-A12A-9BFC6193DC4E}" name="Start Date " dataDxfId="32"/>
    <tableColumn id="2" xr3:uid="{D6130D6E-B2EE-4D09-94CD-7E8053CD1C7B}" name="From"/>
    <tableColumn id="3" xr3:uid="{8ECD20EB-BEF0-47D5-8DA5-28D491EC7B0A}" name="Type"/>
    <tableColumn id="4" xr3:uid="{87D047F3-8B64-4D30-ACC0-42FFF26FEC3E}" name="Total Amount" dataDxfId="31"/>
    <tableColumn id="5" xr3:uid="{C982624C-E448-4958-A5CE-7D794FC142FA}" name="Repaid" dataDxfId="30"/>
    <tableColumn id="6" xr3:uid="{665D5056-3744-4E56-95C7-F0943FD35707}" name="Remaining" dataDxfId="29"/>
    <tableColumn id="7" xr3:uid="{FFDA91C5-2668-4023-9FEE-465A59D85270}" name="Due Date"/>
    <tableColumn id="8" xr3:uid="{748EB09B-78B0-49AB-AC7E-88A7F4C42C89}" name="Status"/>
    <tableColumn id="10" xr3:uid="{39DD9F5E-EB31-47B4-A27F-BDA3AA61DA00}" name="commitment"/>
    <tableColumn id="11" xr3:uid="{740721D4-21BC-47E8-A178-052DE413178D}" name="Monthly Payment" dataDxfId="28"/>
    <tableColumn id="12" xr3:uid="{2EEE087F-37EF-44B3-8405-6F6CCBE4BDEB}" name="End Dat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5D4057-F5F1-485E-AE6E-34A855BB81C8}" name="IncomeTable" displayName="IncomeTable" ref="A1:G4" totalsRowShown="0" headerRowDxfId="26" dataDxfId="25">
  <autoFilter ref="A1:G4" xr:uid="{7C5D4057-F5F1-485E-AE6E-34A855BB81C8}"/>
  <tableColumns count="7">
    <tableColumn id="1" xr3:uid="{85417279-B333-4129-826F-4B13A464B0A1}" name="Date" dataDxfId="24"/>
    <tableColumn id="2" xr3:uid="{72151722-7F6E-43AF-AADF-05A0452D151E}" name="Source" dataDxfId="23"/>
    <tableColumn id="3" xr3:uid="{A9F1D760-964B-4BC4-876E-FE2B218C85B6}" name="Category" dataDxfId="22"/>
    <tableColumn id="4" xr3:uid="{31C0BCAE-AC93-4345-9B1C-546CE0735A6B}" name="Amount" dataDxfId="21"/>
    <tableColumn id="5" xr3:uid="{C6E99480-C881-404B-8F25-E2549BD2CCCD}" name="Status" dataDxfId="20"/>
    <tableColumn id="7" xr3:uid="{29AC2CCC-8D50-4D4F-9049-D5CBB08CDAB6}" name="Recurring" dataDxfId="19"/>
    <tableColumn id="6" xr3:uid="{4D5A0A55-4298-4332-9A93-683CDAE35676}" name="Notes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3F2086-7429-4708-9751-1D0D42E41B00}" name="Table6" displayName="Table6" ref="A1:H4" totalsRowShown="0" headerRowDxfId="17">
  <autoFilter ref="A1:H4" xr:uid="{ED3F2086-7429-4708-9751-1D0D42E41B00}"/>
  <tableColumns count="8">
    <tableColumn id="1" xr3:uid="{02A819B9-5B65-4731-BA10-C393EA3AE4AE}" name="Goal" dataDxfId="16"/>
    <tableColumn id="2" xr3:uid="{51D61835-0ABB-4183-9CDE-6E008A5BE534}" name="Type" dataDxfId="15"/>
    <tableColumn id="3" xr3:uid="{26F4B186-E946-48D7-9DD2-DA125EFEB650}" name="Target Amount" dataDxfId="14"/>
    <tableColumn id="4" xr3:uid="{B407A7D5-A3D5-4F1F-A0BE-CEC184447D2F}" name="Current Amount" dataDxfId="13"/>
    <tableColumn id="5" xr3:uid="{AC787662-7B98-4750-92E3-5F644C592A83}" name="Start Date" dataDxfId="12"/>
    <tableColumn id="6" xr3:uid="{219A44EC-76A4-456E-8296-B0D5D5DB8C37}" name="Target Date" dataDxfId="11"/>
    <tableColumn id="7" xr3:uid="{401F98C6-DE93-4917-B06B-A1F0D02774EE}" name="Priority" dataDxfId="10"/>
    <tableColumn id="8" xr3:uid="{AFB6C60C-D1A2-49E4-B330-36821968B1DD}" name="Status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348894-AB6B-47ED-8D66-B030107418E7}" name="Table7" displayName="Table7" ref="A1:J200" totalsRowShown="0">
  <autoFilter ref="A1:J200" xr:uid="{7E348894-AB6B-47ED-8D66-B030107418E7}"/>
  <tableColumns count="10">
    <tableColumn id="1" xr3:uid="{76E56D66-576D-4754-ADFE-436DD70011B2}" name="Date"/>
    <tableColumn id="2" xr3:uid="{AAAC6B22-EF0E-43D9-B017-EB668B0236DD}" name="Investment"/>
    <tableColumn id="3" xr3:uid="{CF097674-7777-4A04-A504-F67ED104098F}" name="Type"/>
    <tableColumn id="4" xr3:uid="{1C676C24-A4B4-439F-AF8F-F0507E28FD4D}" name="Platform"/>
    <tableColumn id="5" xr3:uid="{CA468ED8-AA61-447C-8470-4B90C0EC17EE}" name="Invested Amount"/>
    <tableColumn id="6" xr3:uid="{36BB9FF4-2216-457F-952A-3B1DD164A26A}" name="Current Value"/>
    <tableColumn id="7" xr3:uid="{C083E934-5CB3-41D8-9FAE-0480212E73D3}" name="Units"/>
    <tableColumn id="8" xr3:uid="{0DB5DA9B-107E-4E46-B79E-99AFD4D44BB7}" name="Return"/>
    <tableColumn id="9" xr3:uid="{5F434CC9-3372-48CB-B21E-E9D715DEC43F}" name="Status"/>
    <tableColumn id="10" xr3:uid="{436FBE32-C5B6-433F-96E4-875D891423A2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7B6D94-D8D0-4A5C-BE0A-8099B43D186B}" name="Table10" displayName="Table10" ref="A1:I70" totalsRowShown="0">
  <autoFilter ref="A1:I70" xr:uid="{4F7B6D94-D8D0-4A5C-BE0A-8099B43D186B}"/>
  <tableColumns count="9">
    <tableColumn id="1" xr3:uid="{1BF6EFB3-081D-479F-97D0-5D410AC21987}" name="Liability"/>
    <tableColumn id="9" xr3:uid="{0B74D237-DA90-49D5-A8A6-285DE9F93208}" name="Category"/>
    <tableColumn id="2" xr3:uid="{63AF3204-721F-4930-9003-E0E2451D091B}" name="Original Loan" dataDxfId="8"/>
    <tableColumn id="3" xr3:uid="{271A520E-175A-4E77-8ACA-00A70E60B367}" name="Outstanding Balance" dataDxfId="7"/>
    <tableColumn id="4" xr3:uid="{4AC64920-C6E6-4621-AC5A-DBB95F045FB6}" name="Monthly EMI" dataDxfId="6"/>
    <tableColumn id="5" xr3:uid="{EA313BB7-3226-4263-8B2A-D21A5A3EC593}" name="Intrest %" dataDxfId="5"/>
    <tableColumn id="6" xr3:uid="{E47C1A29-AD81-4EC2-9222-0D1F1C94F36D}" name="Start Date" dataDxfId="4"/>
    <tableColumn id="7" xr3:uid="{5A74DAD1-ED79-464B-A2CB-CFDC6117FC4F}" name="End Date" dataDxfId="3"/>
    <tableColumn id="8" xr3:uid="{6232A2AD-0FD7-4B56-A36F-A1E8D77D37A2}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C8C911-DBF7-413D-A8D8-C9F208A9B6E1}" name="Table8" displayName="Table8" ref="A1:G200" totalsRowShown="0">
  <autoFilter ref="A1:G200" xr:uid="{E6C8C911-DBF7-413D-A8D8-C9F208A9B6E1}"/>
  <tableColumns count="7">
    <tableColumn id="1" xr3:uid="{E1888108-78C1-492E-82D0-DAB415C45FE0}" name="Asset"/>
    <tableColumn id="2" xr3:uid="{AC7352C6-0DC7-4AFC-BDAD-303C389924A5}" name="Category"/>
    <tableColumn id="3" xr3:uid="{9884F549-FF9E-426C-A41E-5854163D6493}" name="Purchase Value"/>
    <tableColumn id="4" xr3:uid="{486852BE-C51C-4E3A-9B66-11D7D9CCEE9B}" name="Current Value"/>
    <tableColumn id="5" xr3:uid="{2F141C2F-956F-436C-B98A-F15A4A0A762D}" name="Purchase Date" dataDxfId="2"/>
    <tableColumn id="6" xr3:uid="{ED74E306-AFE5-436F-911F-2ED2CC19D23C}" name="Status"/>
    <tableColumn id="7" xr3:uid="{93FAD5D9-55A0-4F40-A483-B99C6367CC93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0C23CD-1E80-4D43-9A03-38675147AE03}" name="Table2" displayName="Table2" ref="A1:J50" totalsRowShown="0">
  <autoFilter ref="A1:J50" xr:uid="{2E0C23CD-1E80-4D43-9A03-38675147AE03}"/>
  <tableColumns count="10">
    <tableColumn id="1" xr3:uid="{16FE000E-432A-4A17-BA6A-9A714304BA37}" name="Company"/>
    <tableColumn id="2" xr3:uid="{3005B719-4414-46B2-B10A-D4E68D53E4FB}" name="Role "/>
    <tableColumn id="3" xr3:uid="{1954A5E5-B9D0-4924-AC6A-82133D14CE65}" name="Salary"/>
    <tableColumn id="4" xr3:uid="{06CC482F-7743-4012-88BB-49BD3CA8A28D}" name="Applied Date"/>
    <tableColumn id="5" xr3:uid="{32A4677A-806D-44CC-A067-3D160A5F003A}" name="Interview Date"/>
    <tableColumn id="6" xr3:uid="{ABFA8FAB-2459-40C4-992D-49DC1146B247}" name="Status"/>
    <tableColumn id="7" xr3:uid="{B34C1EED-D47D-4FC5-9BC2-9CAE801A6498}" name="Interview Round"/>
    <tableColumn id="8" xr3:uid="{26792AB9-C5E9-4A4A-B709-378E8181DC6A}" name="Result"/>
    <tableColumn id="9" xr3:uid="{7649858E-4A5C-4A40-B173-5B0F66C5A092}" name="Next Action"/>
    <tableColumn id="10" xr3:uid="{5F3B3012-6B6C-4946-81E6-D6A84ECD8AFB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AC2A9-C7E6-425B-A4AC-B426835CA64C}">
  <dimension ref="A1:D30"/>
  <sheetViews>
    <sheetView workbookViewId="0">
      <selection activeCell="A30" sqref="A30:B30"/>
    </sheetView>
  </sheetViews>
  <sheetFormatPr defaultRowHeight="14.4" x14ac:dyDescent="0.3"/>
  <sheetData>
    <row r="1" spans="1:4" x14ac:dyDescent="0.3">
      <c r="A1" s="34" t="s">
        <v>0</v>
      </c>
      <c r="B1" s="34"/>
      <c r="C1" s="34"/>
      <c r="D1" s="34"/>
    </row>
    <row r="3" spans="1:4" x14ac:dyDescent="0.3">
      <c r="A3" s="3" t="s">
        <v>1</v>
      </c>
      <c r="B3" s="3" t="s">
        <v>2</v>
      </c>
    </row>
    <row r="4" spans="1:4" x14ac:dyDescent="0.3">
      <c r="A4" s="1" t="s">
        <v>3</v>
      </c>
      <c r="B4" s="1">
        <v>22000</v>
      </c>
    </row>
    <row r="5" spans="1:4" x14ac:dyDescent="0.3">
      <c r="A5" s="1" t="s">
        <v>4</v>
      </c>
      <c r="B5" s="1">
        <v>23000</v>
      </c>
    </row>
    <row r="6" spans="1:4" x14ac:dyDescent="0.3">
      <c r="A6" s="1" t="s">
        <v>5</v>
      </c>
      <c r="B6" s="1">
        <v>28000</v>
      </c>
    </row>
    <row r="7" spans="1:4" x14ac:dyDescent="0.3">
      <c r="A7" s="1" t="s">
        <v>6</v>
      </c>
      <c r="B7" s="1">
        <v>8600</v>
      </c>
    </row>
    <row r="8" spans="1:4" x14ac:dyDescent="0.3">
      <c r="A8" s="1" t="s">
        <v>7</v>
      </c>
      <c r="B8" s="1">
        <v>8000</v>
      </c>
    </row>
    <row r="9" spans="1:4" x14ac:dyDescent="0.3">
      <c r="A9" s="1" t="s">
        <v>8</v>
      </c>
      <c r="B9" s="1">
        <v>5000</v>
      </c>
    </row>
    <row r="10" spans="1:4" x14ac:dyDescent="0.3">
      <c r="A10" s="1" t="s">
        <v>9</v>
      </c>
      <c r="B10" s="1">
        <v>1500</v>
      </c>
    </row>
    <row r="11" spans="1:4" x14ac:dyDescent="0.3">
      <c r="A11" s="1" t="s">
        <v>16</v>
      </c>
      <c r="B11" s="1">
        <v>1000</v>
      </c>
    </row>
    <row r="12" spans="1:4" x14ac:dyDescent="0.3">
      <c r="A12" s="1" t="s">
        <v>10</v>
      </c>
      <c r="B12" s="1">
        <f>SUM(B7:B11)</f>
        <v>24100</v>
      </c>
    </row>
    <row r="16" spans="1:4" x14ac:dyDescent="0.3">
      <c r="A16" s="2" t="s">
        <v>11</v>
      </c>
      <c r="B16" s="2" t="s">
        <v>12</v>
      </c>
      <c r="C16" s="2" t="s">
        <v>21</v>
      </c>
    </row>
    <row r="17" spans="1:3" x14ac:dyDescent="0.3">
      <c r="A17" s="1" t="s">
        <v>13</v>
      </c>
      <c r="B17" s="1">
        <f>B4-B12</f>
        <v>-2100</v>
      </c>
      <c r="C17" s="1">
        <f>B17+$B$24</f>
        <v>2900</v>
      </c>
    </row>
    <row r="18" spans="1:3" x14ac:dyDescent="0.3">
      <c r="A18" s="1" t="s">
        <v>14</v>
      </c>
      <c r="B18" s="1">
        <f>B5-B12</f>
        <v>-1100</v>
      </c>
      <c r="C18" s="1">
        <f>B18+$B$24</f>
        <v>3900</v>
      </c>
    </row>
    <row r="19" spans="1:3" x14ac:dyDescent="0.3">
      <c r="A19" s="1" t="s">
        <v>15</v>
      </c>
      <c r="B19" s="1">
        <f>B6-B12</f>
        <v>3900</v>
      </c>
      <c r="C19" s="1">
        <f>B19+$B$24</f>
        <v>8900</v>
      </c>
    </row>
    <row r="22" spans="1:3" x14ac:dyDescent="0.3">
      <c r="A22" s="4" t="s">
        <v>22</v>
      </c>
    </row>
    <row r="24" spans="1:3" x14ac:dyDescent="0.3">
      <c r="A24" s="1" t="s">
        <v>17</v>
      </c>
      <c r="B24" s="1">
        <v>5000</v>
      </c>
    </row>
    <row r="25" spans="1:3" x14ac:dyDescent="0.3">
      <c r="A25" s="1" t="s">
        <v>18</v>
      </c>
      <c r="B25" s="1">
        <v>45000</v>
      </c>
    </row>
    <row r="26" spans="1:3" x14ac:dyDescent="0.3">
      <c r="A26" s="1" t="s">
        <v>19</v>
      </c>
      <c r="B26" s="1">
        <v>20</v>
      </c>
    </row>
    <row r="27" spans="1:3" x14ac:dyDescent="0.3">
      <c r="A27" s="1" t="s">
        <v>20</v>
      </c>
      <c r="B27" s="1">
        <v>1000</v>
      </c>
    </row>
    <row r="30" spans="1:3" x14ac:dyDescent="0.3">
      <c r="A30" s="2" t="s">
        <v>23</v>
      </c>
      <c r="B30" s="1">
        <f>ABS(MIN(B17:B19))</f>
        <v>2100</v>
      </c>
    </row>
  </sheetData>
  <mergeCells count="1">
    <mergeCell ref="A1:D1"/>
  </mergeCells>
  <conditionalFormatting sqref="B17:B2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3C83-B2D4-491E-9476-5E71CEE4FCE3}">
  <dimension ref="A1:H100"/>
  <sheetViews>
    <sheetView workbookViewId="0">
      <selection activeCell="K11" sqref="K11"/>
    </sheetView>
  </sheetViews>
  <sheetFormatPr defaultRowHeight="14.4" x14ac:dyDescent="0.3"/>
  <cols>
    <col min="1" max="1" width="19.6640625" style="28" customWidth="1"/>
    <col min="2" max="2" width="9.5546875" customWidth="1"/>
    <col min="3" max="3" width="10.21875" customWidth="1"/>
    <col min="4" max="4" width="12.88671875" customWidth="1"/>
    <col min="5" max="5" width="9.33203125" style="21" customWidth="1"/>
    <col min="6" max="6" width="12.33203125" customWidth="1"/>
    <col min="7" max="7" width="15.109375" customWidth="1"/>
    <col min="8" max="8" width="10.77734375" customWidth="1"/>
  </cols>
  <sheetData>
    <row r="1" spans="1:8" x14ac:dyDescent="0.3">
      <c r="A1" s="26" t="s">
        <v>27</v>
      </c>
      <c r="B1" s="14" t="s">
        <v>66</v>
      </c>
      <c r="C1" s="14" t="s">
        <v>24</v>
      </c>
      <c r="D1" s="14" t="s">
        <v>25</v>
      </c>
      <c r="E1" s="22" t="s">
        <v>2</v>
      </c>
      <c r="F1" s="14" t="s">
        <v>26</v>
      </c>
      <c r="G1" s="14" t="s">
        <v>61</v>
      </c>
      <c r="H1" s="14" t="s">
        <v>77</v>
      </c>
    </row>
    <row r="2" spans="1:8" x14ac:dyDescent="0.3">
      <c r="A2" s="10">
        <v>46201</v>
      </c>
      <c r="B2" s="11" t="s">
        <v>67</v>
      </c>
      <c r="C2" s="11" t="s">
        <v>28</v>
      </c>
      <c r="D2" s="11" t="s">
        <v>217</v>
      </c>
      <c r="E2" s="23">
        <v>260</v>
      </c>
      <c r="F2" s="11" t="s">
        <v>36</v>
      </c>
      <c r="G2" s="11" t="s">
        <v>62</v>
      </c>
      <c r="H2" s="11" t="s">
        <v>76</v>
      </c>
    </row>
    <row r="3" spans="1:8" x14ac:dyDescent="0.3">
      <c r="A3" s="12">
        <v>46204</v>
      </c>
      <c r="B3" s="13" t="s">
        <v>67</v>
      </c>
      <c r="C3" s="13" t="s">
        <v>9</v>
      </c>
      <c r="D3" s="13" t="s">
        <v>219</v>
      </c>
      <c r="E3" s="24">
        <v>40</v>
      </c>
      <c r="F3" s="13" t="s">
        <v>35</v>
      </c>
      <c r="G3" s="13" t="s">
        <v>62</v>
      </c>
      <c r="H3" s="13" t="s">
        <v>76</v>
      </c>
    </row>
    <row r="4" spans="1:8" x14ac:dyDescent="0.3">
      <c r="A4" s="10">
        <v>46205</v>
      </c>
      <c r="B4" s="11" t="s">
        <v>67</v>
      </c>
      <c r="C4" s="11" t="s">
        <v>9</v>
      </c>
      <c r="D4" s="11" t="s">
        <v>219</v>
      </c>
      <c r="E4" s="23">
        <v>200</v>
      </c>
      <c r="F4" s="11" t="s">
        <v>35</v>
      </c>
      <c r="G4" s="11" t="s">
        <v>63</v>
      </c>
      <c r="H4" s="11" t="s">
        <v>76</v>
      </c>
    </row>
    <row r="5" spans="1:8" x14ac:dyDescent="0.3">
      <c r="A5" s="12">
        <v>46205</v>
      </c>
      <c r="B5" s="13" t="s">
        <v>67</v>
      </c>
      <c r="C5" s="13" t="s">
        <v>28</v>
      </c>
      <c r="D5" s="13" t="s">
        <v>220</v>
      </c>
      <c r="E5" s="24">
        <v>60</v>
      </c>
      <c r="F5" s="13" t="s">
        <v>35</v>
      </c>
      <c r="G5" s="13" t="s">
        <v>62</v>
      </c>
      <c r="H5" s="13" t="s">
        <v>76</v>
      </c>
    </row>
    <row r="6" spans="1:8" x14ac:dyDescent="0.3">
      <c r="A6" s="10"/>
      <c r="B6" s="11"/>
      <c r="C6" s="11"/>
      <c r="D6" s="11"/>
      <c r="E6" s="23"/>
      <c r="F6" s="11"/>
      <c r="G6" s="11"/>
      <c r="H6" s="11"/>
    </row>
    <row r="7" spans="1:8" x14ac:dyDescent="0.3">
      <c r="A7" s="12"/>
      <c r="B7" s="13"/>
      <c r="C7" s="13"/>
      <c r="D7" s="13"/>
      <c r="E7" s="24"/>
      <c r="F7" s="13"/>
      <c r="G7" s="13"/>
      <c r="H7" s="13"/>
    </row>
    <row r="8" spans="1:8" x14ac:dyDescent="0.3">
      <c r="A8" s="10"/>
      <c r="B8" s="11"/>
      <c r="C8" s="11"/>
      <c r="D8" s="11"/>
      <c r="E8" s="23"/>
      <c r="F8" s="11"/>
      <c r="G8" s="11"/>
      <c r="H8" s="11"/>
    </row>
    <row r="9" spans="1:8" x14ac:dyDescent="0.3">
      <c r="A9" s="12"/>
      <c r="B9" s="13"/>
      <c r="C9" s="13"/>
      <c r="D9" s="13"/>
      <c r="E9" s="24"/>
      <c r="F9" s="13"/>
      <c r="G9" s="13"/>
      <c r="H9" s="13"/>
    </row>
    <row r="10" spans="1:8" x14ac:dyDescent="0.3">
      <c r="A10" s="10"/>
      <c r="B10" s="11"/>
      <c r="C10" s="11"/>
      <c r="D10" s="11"/>
      <c r="E10" s="23"/>
      <c r="F10" s="11"/>
      <c r="G10" s="11"/>
      <c r="H10" s="11"/>
    </row>
    <row r="11" spans="1:8" x14ac:dyDescent="0.3">
      <c r="A11" s="12"/>
      <c r="B11" s="13"/>
      <c r="C11" s="13"/>
      <c r="D11" s="13"/>
      <c r="E11" s="24"/>
      <c r="F11" s="13"/>
      <c r="G11" s="13"/>
      <c r="H11" s="13"/>
    </row>
    <row r="12" spans="1:8" x14ac:dyDescent="0.3">
      <c r="A12" s="10"/>
      <c r="B12" s="11"/>
      <c r="C12" s="11"/>
      <c r="D12" s="11"/>
      <c r="E12" s="23"/>
      <c r="F12" s="11"/>
      <c r="G12" s="11"/>
      <c r="H12" s="11"/>
    </row>
    <row r="13" spans="1:8" x14ac:dyDescent="0.3">
      <c r="A13" s="12"/>
      <c r="B13" s="13"/>
      <c r="C13" s="13"/>
      <c r="D13" s="13"/>
      <c r="E13" s="24"/>
      <c r="F13" s="13"/>
      <c r="G13" s="13"/>
      <c r="H13" s="13"/>
    </row>
    <row r="14" spans="1:8" x14ac:dyDescent="0.3">
      <c r="A14" s="10"/>
      <c r="B14" s="11"/>
      <c r="C14" s="11"/>
      <c r="D14" s="11"/>
      <c r="E14" s="23"/>
      <c r="F14" s="11"/>
      <c r="G14" s="11"/>
      <c r="H14" s="11"/>
    </row>
    <row r="15" spans="1:8" x14ac:dyDescent="0.3">
      <c r="A15" s="12"/>
      <c r="B15" s="13"/>
      <c r="C15" s="13"/>
      <c r="D15" s="13"/>
      <c r="E15" s="24"/>
      <c r="F15" s="13"/>
      <c r="G15" s="13"/>
      <c r="H15" s="13"/>
    </row>
    <row r="16" spans="1:8" x14ac:dyDescent="0.3">
      <c r="A16" s="10"/>
      <c r="B16" s="11"/>
      <c r="C16" s="11"/>
      <c r="D16" s="11"/>
      <c r="E16" s="23"/>
      <c r="F16" s="11"/>
      <c r="G16" s="11"/>
      <c r="H16" s="11"/>
    </row>
    <row r="17" spans="1:8" x14ac:dyDescent="0.3">
      <c r="A17" s="12"/>
      <c r="B17" s="13"/>
      <c r="C17" s="13"/>
      <c r="D17" s="13"/>
      <c r="E17" s="24"/>
      <c r="F17" s="13"/>
      <c r="G17" s="13"/>
      <c r="H17" s="13"/>
    </row>
    <row r="18" spans="1:8" x14ac:dyDescent="0.3">
      <c r="A18" s="10"/>
      <c r="B18" s="11"/>
      <c r="C18" s="11"/>
      <c r="D18" s="11"/>
      <c r="E18" s="23"/>
      <c r="F18" s="11"/>
      <c r="G18" s="11"/>
      <c r="H18" s="11"/>
    </row>
    <row r="19" spans="1:8" x14ac:dyDescent="0.3">
      <c r="A19" s="12"/>
      <c r="B19" s="13"/>
      <c r="C19" s="13"/>
      <c r="D19" s="13"/>
      <c r="E19" s="24"/>
      <c r="F19" s="13"/>
      <c r="G19" s="13"/>
      <c r="H19" s="13"/>
    </row>
    <row r="20" spans="1:8" x14ac:dyDescent="0.3">
      <c r="A20" s="10"/>
      <c r="B20" s="11"/>
      <c r="C20" s="11"/>
      <c r="D20" s="11"/>
      <c r="E20" s="23"/>
      <c r="F20" s="11"/>
      <c r="G20" s="11"/>
      <c r="H20" s="11"/>
    </row>
    <row r="21" spans="1:8" x14ac:dyDescent="0.3">
      <c r="A21" s="12"/>
      <c r="B21" s="13"/>
      <c r="C21" s="13"/>
      <c r="D21" s="13"/>
      <c r="E21" s="24"/>
      <c r="F21" s="13"/>
      <c r="G21" s="13"/>
      <c r="H21" s="13"/>
    </row>
    <row r="22" spans="1:8" x14ac:dyDescent="0.3">
      <c r="A22" s="10"/>
      <c r="B22" s="11"/>
      <c r="C22" s="11"/>
      <c r="D22" s="11"/>
      <c r="E22" s="23"/>
      <c r="F22" s="11"/>
      <c r="G22" s="11"/>
      <c r="H22" s="11"/>
    </row>
    <row r="23" spans="1:8" x14ac:dyDescent="0.3">
      <c r="A23" s="12"/>
      <c r="B23" s="13"/>
      <c r="C23" s="13"/>
      <c r="D23" s="13"/>
      <c r="E23" s="24"/>
      <c r="F23" s="13"/>
      <c r="G23" s="13"/>
      <c r="H23" s="13"/>
    </row>
    <row r="24" spans="1:8" x14ac:dyDescent="0.3">
      <c r="A24" s="10"/>
      <c r="B24" s="11"/>
      <c r="C24" s="11"/>
      <c r="D24" s="11"/>
      <c r="E24" s="23"/>
      <c r="F24" s="11"/>
      <c r="G24" s="11"/>
      <c r="H24" s="11"/>
    </row>
    <row r="25" spans="1:8" x14ac:dyDescent="0.3">
      <c r="A25" s="12"/>
      <c r="B25" s="13"/>
      <c r="C25" s="13"/>
      <c r="D25" s="13"/>
      <c r="E25" s="24"/>
      <c r="F25" s="13"/>
      <c r="G25" s="13"/>
      <c r="H25" s="13"/>
    </row>
    <row r="26" spans="1:8" x14ac:dyDescent="0.3">
      <c r="A26" s="10"/>
      <c r="B26" s="11"/>
      <c r="C26" s="11"/>
      <c r="D26" s="11"/>
      <c r="E26" s="23"/>
      <c r="F26" s="11"/>
      <c r="G26" s="11"/>
      <c r="H26" s="11"/>
    </row>
    <row r="27" spans="1:8" x14ac:dyDescent="0.3">
      <c r="A27" s="12"/>
      <c r="B27" s="13"/>
      <c r="C27" s="13"/>
      <c r="D27" s="13"/>
      <c r="E27" s="24"/>
      <c r="F27" s="13"/>
      <c r="G27" s="13"/>
      <c r="H27" s="13"/>
    </row>
    <row r="28" spans="1:8" x14ac:dyDescent="0.3">
      <c r="A28" s="10"/>
      <c r="B28" s="11"/>
      <c r="C28" s="11"/>
      <c r="D28" s="11"/>
      <c r="E28" s="23"/>
      <c r="F28" s="11"/>
      <c r="G28" s="11"/>
      <c r="H28" s="11"/>
    </row>
    <row r="29" spans="1:8" x14ac:dyDescent="0.3">
      <c r="A29" s="12"/>
      <c r="B29" s="13"/>
      <c r="C29" s="13"/>
      <c r="D29" s="13"/>
      <c r="E29" s="24"/>
      <c r="F29" s="13"/>
      <c r="G29" s="13"/>
      <c r="H29" s="13"/>
    </row>
    <row r="30" spans="1:8" x14ac:dyDescent="0.3">
      <c r="A30" s="10"/>
      <c r="B30" s="11"/>
      <c r="C30" s="11"/>
      <c r="D30" s="11"/>
      <c r="E30" s="23"/>
      <c r="F30" s="11"/>
      <c r="G30" s="11"/>
      <c r="H30" s="11"/>
    </row>
    <row r="31" spans="1:8" x14ac:dyDescent="0.3">
      <c r="A31" s="12"/>
      <c r="B31" s="13"/>
      <c r="C31" s="13"/>
      <c r="D31" s="13"/>
      <c r="E31" s="24"/>
      <c r="F31" s="13"/>
      <c r="G31" s="13"/>
      <c r="H31" s="13"/>
    </row>
    <row r="32" spans="1:8" x14ac:dyDescent="0.3">
      <c r="A32" s="10"/>
      <c r="B32" s="11"/>
      <c r="C32" s="11"/>
      <c r="D32" s="11"/>
      <c r="E32" s="23"/>
      <c r="F32" s="11"/>
      <c r="G32" s="11"/>
      <c r="H32" s="11"/>
    </row>
    <row r="33" spans="1:8" x14ac:dyDescent="0.3">
      <c r="A33" s="12"/>
      <c r="B33" s="13"/>
      <c r="C33" s="13"/>
      <c r="D33" s="13"/>
      <c r="E33" s="24"/>
      <c r="F33" s="13"/>
      <c r="G33" s="13"/>
      <c r="H33" s="13"/>
    </row>
    <row r="34" spans="1:8" x14ac:dyDescent="0.3">
      <c r="A34" s="10"/>
      <c r="B34" s="11"/>
      <c r="C34" s="11"/>
      <c r="D34" s="11"/>
      <c r="E34" s="23"/>
      <c r="F34" s="11"/>
      <c r="G34" s="11"/>
      <c r="H34" s="11"/>
    </row>
    <row r="35" spans="1:8" x14ac:dyDescent="0.3">
      <c r="A35" s="12"/>
      <c r="B35" s="13"/>
      <c r="C35" s="13"/>
      <c r="D35" s="13"/>
      <c r="E35" s="24"/>
      <c r="F35" s="13"/>
      <c r="G35" s="13"/>
      <c r="H35" s="13"/>
    </row>
    <row r="36" spans="1:8" x14ac:dyDescent="0.3">
      <c r="A36" s="10"/>
      <c r="B36" s="11"/>
      <c r="C36" s="11"/>
      <c r="D36" s="11"/>
      <c r="E36" s="23"/>
      <c r="F36" s="11"/>
      <c r="G36" s="11"/>
      <c r="H36" s="11"/>
    </row>
    <row r="37" spans="1:8" x14ac:dyDescent="0.3">
      <c r="A37" s="12"/>
      <c r="B37" s="13"/>
      <c r="C37" s="13"/>
      <c r="D37" s="13"/>
      <c r="E37" s="24"/>
      <c r="F37" s="13"/>
      <c r="G37" s="13"/>
      <c r="H37" s="13"/>
    </row>
    <row r="38" spans="1:8" x14ac:dyDescent="0.3">
      <c r="A38" s="10"/>
      <c r="B38" s="11"/>
      <c r="C38" s="11"/>
      <c r="D38" s="11"/>
      <c r="E38" s="23"/>
      <c r="F38" s="11"/>
      <c r="G38" s="11"/>
      <c r="H38" s="11"/>
    </row>
    <row r="39" spans="1:8" x14ac:dyDescent="0.3">
      <c r="A39" s="12"/>
      <c r="B39" s="13"/>
      <c r="C39" s="13"/>
      <c r="D39" s="13"/>
      <c r="E39" s="24"/>
      <c r="F39" s="13"/>
      <c r="G39" s="13"/>
      <c r="H39" s="13"/>
    </row>
    <row r="40" spans="1:8" x14ac:dyDescent="0.3">
      <c r="A40" s="10"/>
      <c r="B40" s="11"/>
      <c r="C40" s="11"/>
      <c r="D40" s="11"/>
      <c r="E40" s="23"/>
      <c r="F40" s="11"/>
      <c r="G40" s="11"/>
      <c r="H40" s="11"/>
    </row>
    <row r="41" spans="1:8" x14ac:dyDescent="0.3">
      <c r="A41" s="12"/>
      <c r="B41" s="13"/>
      <c r="C41" s="13"/>
      <c r="D41" s="13"/>
      <c r="E41" s="24"/>
      <c r="F41" s="13"/>
      <c r="G41" s="13"/>
      <c r="H41" s="13"/>
    </row>
    <row r="42" spans="1:8" x14ac:dyDescent="0.3">
      <c r="A42" s="10"/>
      <c r="B42" s="11"/>
      <c r="C42" s="11"/>
      <c r="D42" s="11"/>
      <c r="E42" s="23"/>
      <c r="F42" s="11"/>
      <c r="G42" s="11"/>
      <c r="H42" s="11"/>
    </row>
    <row r="43" spans="1:8" x14ac:dyDescent="0.3">
      <c r="A43" s="12"/>
      <c r="B43" s="13"/>
      <c r="C43" s="13"/>
      <c r="D43" s="13"/>
      <c r="E43" s="24"/>
      <c r="F43" s="13"/>
      <c r="G43" s="13"/>
      <c r="H43" s="13"/>
    </row>
    <row r="44" spans="1:8" x14ac:dyDescent="0.3">
      <c r="A44" s="10"/>
      <c r="B44" s="11"/>
      <c r="C44" s="11"/>
      <c r="D44" s="11"/>
      <c r="E44" s="23"/>
      <c r="F44" s="11"/>
      <c r="G44" s="11"/>
      <c r="H44" s="11"/>
    </row>
    <row r="45" spans="1:8" x14ac:dyDescent="0.3">
      <c r="A45" s="12"/>
      <c r="B45" s="13"/>
      <c r="C45" s="13"/>
      <c r="D45" s="13"/>
      <c r="E45" s="24"/>
      <c r="F45" s="13"/>
      <c r="G45" s="13"/>
      <c r="H45" s="13"/>
    </row>
    <row r="46" spans="1:8" x14ac:dyDescent="0.3">
      <c r="A46" s="10"/>
      <c r="B46" s="11"/>
      <c r="C46" s="11"/>
      <c r="D46" s="11"/>
      <c r="E46" s="23"/>
      <c r="F46" s="11"/>
      <c r="G46" s="11"/>
      <c r="H46" s="11"/>
    </row>
    <row r="47" spans="1:8" x14ac:dyDescent="0.3">
      <c r="A47" s="12"/>
      <c r="B47" s="13"/>
      <c r="C47" s="13"/>
      <c r="D47" s="13"/>
      <c r="E47" s="24"/>
      <c r="F47" s="13"/>
      <c r="G47" s="13"/>
      <c r="H47" s="13"/>
    </row>
    <row r="48" spans="1:8" x14ac:dyDescent="0.3">
      <c r="A48" s="10"/>
      <c r="B48" s="11"/>
      <c r="C48" s="11"/>
      <c r="D48" s="11"/>
      <c r="E48" s="23"/>
      <c r="F48" s="11"/>
      <c r="G48" s="11"/>
      <c r="H48" s="11"/>
    </row>
    <row r="49" spans="1:8" x14ac:dyDescent="0.3">
      <c r="A49" s="12"/>
      <c r="B49" s="13"/>
      <c r="C49" s="13"/>
      <c r="D49" s="13"/>
      <c r="E49" s="24"/>
      <c r="F49" s="13"/>
      <c r="G49" s="13"/>
      <c r="H49" s="13"/>
    </row>
    <row r="50" spans="1:8" x14ac:dyDescent="0.3">
      <c r="A50" s="10"/>
      <c r="B50" s="11"/>
      <c r="C50" s="11"/>
      <c r="D50" s="11"/>
      <c r="E50" s="23"/>
      <c r="F50" s="11"/>
      <c r="G50" s="11"/>
      <c r="H50" s="11"/>
    </row>
    <row r="51" spans="1:8" x14ac:dyDescent="0.3">
      <c r="A51" s="12"/>
      <c r="B51" s="13"/>
      <c r="C51" s="13"/>
      <c r="D51" s="13"/>
      <c r="E51" s="24"/>
      <c r="F51" s="13"/>
      <c r="G51" s="13"/>
      <c r="H51" s="13"/>
    </row>
    <row r="52" spans="1:8" x14ac:dyDescent="0.3">
      <c r="A52" s="10"/>
      <c r="B52" s="11"/>
      <c r="C52" s="11"/>
      <c r="D52" s="11"/>
      <c r="E52" s="23"/>
      <c r="F52" s="11"/>
      <c r="G52" s="11"/>
      <c r="H52" s="11"/>
    </row>
    <row r="53" spans="1:8" x14ac:dyDescent="0.3">
      <c r="A53" s="12"/>
      <c r="B53" s="13"/>
      <c r="C53" s="13"/>
      <c r="D53" s="13"/>
      <c r="E53" s="24"/>
      <c r="F53" s="13"/>
      <c r="G53" s="13"/>
      <c r="H53" s="13"/>
    </row>
    <row r="54" spans="1:8" x14ac:dyDescent="0.3">
      <c r="A54" s="10"/>
      <c r="B54" s="11"/>
      <c r="C54" s="11"/>
      <c r="D54" s="11"/>
      <c r="E54" s="23"/>
      <c r="F54" s="11"/>
      <c r="G54" s="11"/>
      <c r="H54" s="11"/>
    </row>
    <row r="55" spans="1:8" x14ac:dyDescent="0.3">
      <c r="A55" s="12"/>
      <c r="B55" s="13"/>
      <c r="C55" s="13"/>
      <c r="D55" s="13"/>
      <c r="E55" s="24"/>
      <c r="F55" s="13"/>
      <c r="G55" s="13"/>
      <c r="H55" s="13"/>
    </row>
    <row r="56" spans="1:8" x14ac:dyDescent="0.3">
      <c r="A56" s="10"/>
      <c r="B56" s="11"/>
      <c r="C56" s="11"/>
      <c r="D56" s="11"/>
      <c r="E56" s="23"/>
      <c r="F56" s="11"/>
      <c r="G56" s="11"/>
      <c r="H56" s="11"/>
    </row>
    <row r="57" spans="1:8" x14ac:dyDescent="0.3">
      <c r="A57" s="12"/>
      <c r="B57" s="13"/>
      <c r="C57" s="13"/>
      <c r="D57" s="13"/>
      <c r="E57" s="24"/>
      <c r="F57" s="13"/>
      <c r="G57" s="13"/>
      <c r="H57" s="13"/>
    </row>
    <row r="58" spans="1:8" x14ac:dyDescent="0.3">
      <c r="A58" s="10"/>
      <c r="B58" s="11"/>
      <c r="C58" s="11"/>
      <c r="D58" s="11"/>
      <c r="E58" s="23"/>
      <c r="F58" s="11"/>
      <c r="G58" s="11"/>
      <c r="H58" s="11"/>
    </row>
    <row r="59" spans="1:8" x14ac:dyDescent="0.3">
      <c r="A59" s="12"/>
      <c r="B59" s="13"/>
      <c r="C59" s="13"/>
      <c r="D59" s="13"/>
      <c r="E59" s="24"/>
      <c r="F59" s="13"/>
      <c r="G59" s="13"/>
      <c r="H59" s="13"/>
    </row>
    <row r="60" spans="1:8" x14ac:dyDescent="0.3">
      <c r="A60" s="10"/>
      <c r="B60" s="11"/>
      <c r="C60" s="11"/>
      <c r="D60" s="11"/>
      <c r="E60" s="23"/>
      <c r="F60" s="11"/>
      <c r="G60" s="11"/>
      <c r="H60" s="11"/>
    </row>
    <row r="61" spans="1:8" x14ac:dyDescent="0.3">
      <c r="A61" s="12"/>
      <c r="B61" s="13"/>
      <c r="C61" s="13"/>
      <c r="D61" s="13"/>
      <c r="E61" s="24"/>
      <c r="F61" s="13"/>
      <c r="G61" s="13"/>
      <c r="H61" s="13"/>
    </row>
    <row r="62" spans="1:8" x14ac:dyDescent="0.3">
      <c r="A62" s="10"/>
      <c r="B62" s="11"/>
      <c r="C62" s="11"/>
      <c r="D62" s="11"/>
      <c r="E62" s="23"/>
      <c r="F62" s="11"/>
      <c r="G62" s="11"/>
      <c r="H62" s="11"/>
    </row>
    <row r="63" spans="1:8" x14ac:dyDescent="0.3">
      <c r="A63" s="12"/>
      <c r="B63" s="13"/>
      <c r="C63" s="13"/>
      <c r="D63" s="13"/>
      <c r="E63" s="24"/>
      <c r="F63" s="13"/>
      <c r="G63" s="13"/>
      <c r="H63" s="13"/>
    </row>
    <row r="64" spans="1:8" x14ac:dyDescent="0.3">
      <c r="A64" s="10"/>
      <c r="B64" s="11"/>
      <c r="C64" s="11"/>
      <c r="D64" s="11"/>
      <c r="E64" s="23"/>
      <c r="F64" s="11"/>
      <c r="G64" s="11"/>
      <c r="H64" s="11"/>
    </row>
    <row r="65" spans="1:8" x14ac:dyDescent="0.3">
      <c r="A65" s="12"/>
      <c r="B65" s="13"/>
      <c r="C65" s="13"/>
      <c r="D65" s="13"/>
      <c r="E65" s="24"/>
      <c r="F65" s="13"/>
      <c r="G65" s="13"/>
      <c r="H65" s="13"/>
    </row>
    <row r="66" spans="1:8" x14ac:dyDescent="0.3">
      <c r="A66" s="10"/>
      <c r="B66" s="11"/>
      <c r="C66" s="11"/>
      <c r="D66" s="11"/>
      <c r="E66" s="23"/>
      <c r="F66" s="11"/>
      <c r="G66" s="11"/>
      <c r="H66" s="11"/>
    </row>
    <row r="67" spans="1:8" x14ac:dyDescent="0.3">
      <c r="A67" s="12"/>
      <c r="B67" s="13"/>
      <c r="C67" s="13"/>
      <c r="D67" s="13"/>
      <c r="E67" s="24"/>
      <c r="F67" s="13"/>
      <c r="G67" s="13"/>
      <c r="H67" s="13"/>
    </row>
    <row r="68" spans="1:8" x14ac:dyDescent="0.3">
      <c r="A68" s="10"/>
      <c r="B68" s="11"/>
      <c r="C68" s="11"/>
      <c r="D68" s="11"/>
      <c r="E68" s="23"/>
      <c r="F68" s="11"/>
      <c r="G68" s="11"/>
      <c r="H68" s="11"/>
    </row>
    <row r="69" spans="1:8" x14ac:dyDescent="0.3">
      <c r="A69" s="12"/>
      <c r="B69" s="13"/>
      <c r="C69" s="13"/>
      <c r="D69" s="13"/>
      <c r="E69" s="24"/>
      <c r="F69" s="13"/>
      <c r="G69" s="13"/>
      <c r="H69" s="13"/>
    </row>
    <row r="70" spans="1:8" x14ac:dyDescent="0.3">
      <c r="A70" s="10"/>
      <c r="B70" s="11"/>
      <c r="C70" s="11"/>
      <c r="D70" s="11"/>
      <c r="E70" s="23"/>
      <c r="F70" s="11"/>
      <c r="G70" s="11"/>
      <c r="H70" s="11"/>
    </row>
    <row r="71" spans="1:8" x14ac:dyDescent="0.3">
      <c r="A71" s="12"/>
      <c r="B71" s="13"/>
      <c r="C71" s="13"/>
      <c r="D71" s="13"/>
      <c r="E71" s="24"/>
      <c r="F71" s="13"/>
      <c r="G71" s="13"/>
      <c r="H71" s="13"/>
    </row>
    <row r="72" spans="1:8" x14ac:dyDescent="0.3">
      <c r="A72" s="10"/>
      <c r="B72" s="11"/>
      <c r="C72" s="11"/>
      <c r="D72" s="11"/>
      <c r="E72" s="23"/>
      <c r="F72" s="11"/>
      <c r="G72" s="11"/>
      <c r="H72" s="11"/>
    </row>
    <row r="73" spans="1:8" x14ac:dyDescent="0.3">
      <c r="A73" s="12"/>
      <c r="B73" s="13"/>
      <c r="C73" s="13"/>
      <c r="D73" s="13"/>
      <c r="E73" s="24"/>
      <c r="F73" s="13"/>
      <c r="G73" s="13"/>
      <c r="H73" s="13"/>
    </row>
    <row r="74" spans="1:8" x14ac:dyDescent="0.3">
      <c r="A74" s="10"/>
      <c r="B74" s="11"/>
      <c r="C74" s="11"/>
      <c r="D74" s="11"/>
      <c r="E74" s="23"/>
      <c r="F74" s="11"/>
      <c r="G74" s="11"/>
      <c r="H74" s="11"/>
    </row>
    <row r="75" spans="1:8" x14ac:dyDescent="0.3">
      <c r="A75" s="12"/>
      <c r="B75" s="13"/>
      <c r="C75" s="13"/>
      <c r="D75" s="13"/>
      <c r="E75" s="24"/>
      <c r="F75" s="13"/>
      <c r="G75" s="13"/>
      <c r="H75" s="13"/>
    </row>
    <row r="76" spans="1:8" x14ac:dyDescent="0.3">
      <c r="A76" s="10"/>
      <c r="B76" s="11"/>
      <c r="C76" s="11"/>
      <c r="D76" s="11"/>
      <c r="E76" s="23"/>
      <c r="F76" s="11"/>
      <c r="G76" s="11"/>
      <c r="H76" s="11"/>
    </row>
    <row r="77" spans="1:8" x14ac:dyDescent="0.3">
      <c r="A77" s="12"/>
      <c r="B77" s="13"/>
      <c r="C77" s="13"/>
      <c r="D77" s="13"/>
      <c r="E77" s="24"/>
      <c r="F77" s="13"/>
      <c r="G77" s="13"/>
      <c r="H77" s="13"/>
    </row>
    <row r="78" spans="1:8" x14ac:dyDescent="0.3">
      <c r="A78" s="10"/>
      <c r="B78" s="11"/>
      <c r="C78" s="11"/>
      <c r="D78" s="11"/>
      <c r="E78" s="23"/>
      <c r="F78" s="11"/>
      <c r="G78" s="11"/>
      <c r="H78" s="11"/>
    </row>
    <row r="79" spans="1:8" x14ac:dyDescent="0.3">
      <c r="A79" s="12"/>
      <c r="B79" s="13"/>
      <c r="C79" s="13"/>
      <c r="D79" s="13"/>
      <c r="E79" s="24"/>
      <c r="F79" s="13"/>
      <c r="G79" s="13"/>
      <c r="H79" s="13"/>
    </row>
    <row r="80" spans="1:8" x14ac:dyDescent="0.3">
      <c r="A80" s="10"/>
      <c r="B80" s="11"/>
      <c r="C80" s="11"/>
      <c r="D80" s="11"/>
      <c r="E80" s="23"/>
      <c r="F80" s="11"/>
      <c r="G80" s="11"/>
      <c r="H80" s="11"/>
    </row>
    <row r="81" spans="1:8" x14ac:dyDescent="0.3">
      <c r="A81" s="12"/>
      <c r="B81" s="13"/>
      <c r="C81" s="13"/>
      <c r="D81" s="13"/>
      <c r="E81" s="24"/>
      <c r="F81" s="13"/>
      <c r="G81" s="13"/>
      <c r="H81" s="13"/>
    </row>
    <row r="82" spans="1:8" x14ac:dyDescent="0.3">
      <c r="A82" s="10"/>
      <c r="B82" s="11"/>
      <c r="C82" s="11"/>
      <c r="D82" s="11"/>
      <c r="E82" s="23"/>
      <c r="F82" s="11"/>
      <c r="G82" s="11"/>
      <c r="H82" s="11"/>
    </row>
    <row r="83" spans="1:8" x14ac:dyDescent="0.3">
      <c r="A83" s="12"/>
      <c r="B83" s="13"/>
      <c r="C83" s="13"/>
      <c r="D83" s="13"/>
      <c r="E83" s="24"/>
      <c r="F83" s="13"/>
      <c r="G83" s="13"/>
      <c r="H83" s="13"/>
    </row>
    <row r="84" spans="1:8" x14ac:dyDescent="0.3">
      <c r="A84" s="10"/>
      <c r="B84" s="11"/>
      <c r="C84" s="11"/>
      <c r="D84" s="11"/>
      <c r="E84" s="23"/>
      <c r="F84" s="11"/>
      <c r="G84" s="11"/>
      <c r="H84" s="11"/>
    </row>
    <row r="85" spans="1:8" x14ac:dyDescent="0.3">
      <c r="A85" s="12"/>
      <c r="B85" s="13"/>
      <c r="C85" s="13"/>
      <c r="D85" s="13"/>
      <c r="E85" s="24"/>
      <c r="F85" s="13"/>
      <c r="G85" s="13"/>
      <c r="H85" s="13"/>
    </row>
    <row r="86" spans="1:8" x14ac:dyDescent="0.3">
      <c r="A86" s="10"/>
      <c r="B86" s="11"/>
      <c r="C86" s="11"/>
      <c r="D86" s="11"/>
      <c r="E86" s="23"/>
      <c r="F86" s="11"/>
      <c r="G86" s="11"/>
      <c r="H86" s="11"/>
    </row>
    <row r="87" spans="1:8" x14ac:dyDescent="0.3">
      <c r="A87" s="12"/>
      <c r="B87" s="13"/>
      <c r="C87" s="13"/>
      <c r="D87" s="13"/>
      <c r="E87" s="24"/>
      <c r="F87" s="13"/>
      <c r="G87" s="13"/>
      <c r="H87" s="13"/>
    </row>
    <row r="88" spans="1:8" x14ac:dyDescent="0.3">
      <c r="A88" s="10"/>
      <c r="B88" s="11"/>
      <c r="C88" s="11"/>
      <c r="D88" s="11"/>
      <c r="E88" s="23"/>
      <c r="F88" s="11"/>
      <c r="G88" s="11"/>
      <c r="H88" s="11"/>
    </row>
    <row r="89" spans="1:8" x14ac:dyDescent="0.3">
      <c r="A89" s="12"/>
      <c r="B89" s="13"/>
      <c r="C89" s="13"/>
      <c r="D89" s="13"/>
      <c r="E89" s="24"/>
      <c r="F89" s="13"/>
      <c r="G89" s="13"/>
      <c r="H89" s="13"/>
    </row>
    <row r="90" spans="1:8" x14ac:dyDescent="0.3">
      <c r="A90" s="10"/>
      <c r="B90" s="11"/>
      <c r="C90" s="11"/>
      <c r="D90" s="11"/>
      <c r="E90" s="23"/>
      <c r="F90" s="11"/>
      <c r="G90" s="11"/>
      <c r="H90" s="11"/>
    </row>
    <row r="91" spans="1:8" x14ac:dyDescent="0.3">
      <c r="A91" s="12"/>
      <c r="B91" s="13"/>
      <c r="C91" s="13"/>
      <c r="D91" s="13"/>
      <c r="E91" s="24"/>
      <c r="F91" s="13"/>
      <c r="G91" s="13"/>
      <c r="H91" s="13"/>
    </row>
    <row r="92" spans="1:8" x14ac:dyDescent="0.3">
      <c r="A92" s="10"/>
      <c r="B92" s="11"/>
      <c r="C92" s="11"/>
      <c r="D92" s="11"/>
      <c r="E92" s="23"/>
      <c r="F92" s="11"/>
      <c r="G92" s="11"/>
      <c r="H92" s="11"/>
    </row>
    <row r="93" spans="1:8" x14ac:dyDescent="0.3">
      <c r="A93" s="12"/>
      <c r="B93" s="13"/>
      <c r="C93" s="13"/>
      <c r="D93" s="13"/>
      <c r="E93" s="24"/>
      <c r="F93" s="13"/>
      <c r="G93" s="13"/>
      <c r="H93" s="13"/>
    </row>
    <row r="94" spans="1:8" x14ac:dyDescent="0.3">
      <c r="A94" s="10"/>
      <c r="B94" s="11"/>
      <c r="C94" s="11"/>
      <c r="D94" s="11"/>
      <c r="E94" s="23"/>
      <c r="F94" s="11"/>
      <c r="G94" s="11"/>
      <c r="H94" s="11"/>
    </row>
    <row r="95" spans="1:8" x14ac:dyDescent="0.3">
      <c r="A95" s="12"/>
      <c r="B95" s="13"/>
      <c r="C95" s="13"/>
      <c r="D95" s="13"/>
      <c r="E95" s="24"/>
      <c r="F95" s="13"/>
      <c r="G95" s="13"/>
      <c r="H95" s="13"/>
    </row>
    <row r="96" spans="1:8" x14ac:dyDescent="0.3">
      <c r="A96" s="10"/>
      <c r="B96" s="11"/>
      <c r="C96" s="11"/>
      <c r="D96" s="11"/>
      <c r="E96" s="23"/>
      <c r="F96" s="11"/>
      <c r="G96" s="11"/>
      <c r="H96" s="11"/>
    </row>
    <row r="97" spans="1:8" x14ac:dyDescent="0.3">
      <c r="A97" s="12"/>
      <c r="B97" s="13"/>
      <c r="C97" s="13"/>
      <c r="D97" s="13"/>
      <c r="E97" s="24"/>
      <c r="F97" s="13"/>
      <c r="G97" s="13"/>
      <c r="H97" s="13"/>
    </row>
    <row r="98" spans="1:8" x14ac:dyDescent="0.3">
      <c r="A98" s="10"/>
      <c r="B98" s="11"/>
      <c r="C98" s="11"/>
      <c r="D98" s="11"/>
      <c r="E98" s="23"/>
      <c r="F98" s="11"/>
      <c r="G98" s="11"/>
      <c r="H98" s="11"/>
    </row>
    <row r="99" spans="1:8" x14ac:dyDescent="0.3">
      <c r="A99" s="12"/>
      <c r="B99" s="13"/>
      <c r="C99" s="13"/>
      <c r="D99" s="13"/>
      <c r="E99" s="24"/>
      <c r="F99" s="13"/>
      <c r="G99" s="13"/>
      <c r="H99" s="13"/>
    </row>
    <row r="100" spans="1:8" x14ac:dyDescent="0.3">
      <c r="A100" s="27"/>
      <c r="B100" s="9"/>
      <c r="C100" s="9"/>
      <c r="D100" s="9"/>
      <c r="E100" s="25"/>
      <c r="F100" s="9"/>
      <c r="G100" s="9"/>
      <c r="H100" s="9"/>
    </row>
  </sheetData>
  <dataValidations count="6">
    <dataValidation type="list" allowBlank="1" showInputMessage="1" showErrorMessage="1" sqref="C1" xr:uid="{9774301C-2AE4-4A13-8C23-AC57606FCBC9}">
      <formula1>"Categories"</formula1>
    </dataValidation>
    <dataValidation type="list" allowBlank="1" showInputMessage="1" showErrorMessage="1" sqref="C2:C500" xr:uid="{F351657F-7FF6-476B-8DEF-E4153FC824E4}">
      <formula1>Categories</formula1>
    </dataValidation>
    <dataValidation type="list" allowBlank="1" showInputMessage="1" showErrorMessage="1" sqref="F2:F500" xr:uid="{CC2030DF-3576-465B-A1D1-F464C10A86A9}">
      <formula1>NeedWant</formula1>
    </dataValidation>
    <dataValidation type="list" allowBlank="1" showInputMessage="1" showErrorMessage="1" sqref="G2:G500" xr:uid="{A1F5D677-49A0-4615-B28C-DC4576B7E867}">
      <formula1>PaymentMode</formula1>
    </dataValidation>
    <dataValidation type="list" allowBlank="1" showInputMessage="1" showErrorMessage="1" sqref="B2:B500" xr:uid="{5C0D355D-1444-4957-8A8D-37402B162BA2}">
      <formula1>TransactionType</formula1>
    </dataValidation>
    <dataValidation type="list" allowBlank="1" showInputMessage="1" showErrorMessage="1" sqref="H2:H500" xr:uid="{844E76C2-E126-4300-B6E0-C0871C46811C}">
      <formula1>Choice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64A-0D11-4427-AF36-BC223AAE005B}">
  <dimension ref="A1:C2"/>
  <sheetViews>
    <sheetView workbookViewId="0">
      <selection activeCell="B2" sqref="B2"/>
    </sheetView>
  </sheetViews>
  <sheetFormatPr defaultRowHeight="14.4" x14ac:dyDescent="0.3"/>
  <cols>
    <col min="1" max="1" width="15.21875" customWidth="1"/>
    <col min="3" max="3" width="15.21875" customWidth="1"/>
  </cols>
  <sheetData>
    <row r="1" spans="1:3" x14ac:dyDescent="0.3">
      <c r="A1" t="s">
        <v>52</v>
      </c>
      <c r="B1" t="s">
        <v>78</v>
      </c>
      <c r="C1" t="s">
        <v>221</v>
      </c>
    </row>
    <row r="2" spans="1:3" x14ac:dyDescent="0.3">
      <c r="A2">
        <v>7</v>
      </c>
      <c r="B2">
        <v>2026</v>
      </c>
      <c r="C2">
        <v>8000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5016-8080-45D9-A027-E465FB36B2D6}">
  <dimension ref="A1:K2"/>
  <sheetViews>
    <sheetView workbookViewId="0">
      <selection activeCell="P13" sqref="P13"/>
    </sheetView>
  </sheetViews>
  <sheetFormatPr defaultRowHeight="14.4" x14ac:dyDescent="0.3"/>
  <cols>
    <col min="1" max="1" width="12.44140625" style="28" customWidth="1"/>
    <col min="2" max="2" width="10.21875" customWidth="1"/>
    <col min="3" max="3" width="12" customWidth="1"/>
    <col min="4" max="4" width="13" style="21" customWidth="1"/>
    <col min="5" max="5" width="10.44140625" style="21" bestFit="1" customWidth="1"/>
    <col min="6" max="6" width="11.6640625" style="21" customWidth="1"/>
    <col min="7" max="7" width="10.33203125" customWidth="1"/>
    <col min="9" max="9" width="13.5546875" customWidth="1"/>
    <col min="10" max="10" width="14.5546875" style="21" customWidth="1"/>
    <col min="11" max="11" width="11.33203125" style="28" customWidth="1"/>
  </cols>
  <sheetData>
    <row r="1" spans="1:11" x14ac:dyDescent="0.3">
      <c r="A1" s="28" t="s">
        <v>227</v>
      </c>
      <c r="B1" t="s">
        <v>192</v>
      </c>
      <c r="C1" t="s">
        <v>66</v>
      </c>
      <c r="D1" s="21" t="s">
        <v>225</v>
      </c>
      <c r="E1" s="21" t="s">
        <v>193</v>
      </c>
      <c r="F1" s="21" t="s">
        <v>194</v>
      </c>
      <c r="G1" t="s">
        <v>195</v>
      </c>
      <c r="H1" t="s">
        <v>130</v>
      </c>
      <c r="I1" t="s">
        <v>222</v>
      </c>
      <c r="J1" s="21" t="s">
        <v>226</v>
      </c>
      <c r="K1" s="28" t="s">
        <v>228</v>
      </c>
    </row>
    <row r="2" spans="1:11" x14ac:dyDescent="0.3">
      <c r="A2" s="28">
        <v>46197</v>
      </c>
      <c r="B2" t="s">
        <v>229</v>
      </c>
      <c r="C2" t="s">
        <v>6</v>
      </c>
      <c r="D2" s="21">
        <v>86000</v>
      </c>
      <c r="E2" s="21">
        <v>0</v>
      </c>
      <c r="F2" s="21">
        <v>86000</v>
      </c>
      <c r="G2" s="28">
        <v>46235</v>
      </c>
      <c r="H2" t="s">
        <v>197</v>
      </c>
      <c r="I2" t="s">
        <v>230</v>
      </c>
      <c r="J2" s="21">
        <v>8600</v>
      </c>
      <c r="K2" s="28">
        <v>46447</v>
      </c>
    </row>
  </sheetData>
  <dataValidations count="2">
    <dataValidation type="list" allowBlank="1" showInputMessage="1" showErrorMessage="1" sqref="C1:C1048576" xr:uid="{C13FD2A8-23CC-45C1-BECC-766CFBB6D4A6}">
      <formula1>LoanType</formula1>
    </dataValidation>
    <dataValidation type="list" allowBlank="1" showInputMessage="1" showErrorMessage="1" sqref="H1:H1048576" xr:uid="{4DC35CFB-9EF8-4609-96E8-FC7DC36AECDA}">
      <formula1>CommitmentStatus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69CB-2FB6-48CF-B292-D5EA7E2EAA09}">
  <dimension ref="A1:B31"/>
  <sheetViews>
    <sheetView workbookViewId="0">
      <pane ySplit="1" topLeftCell="A19" activePane="bottomLeft" state="frozen"/>
      <selection pane="bottomLeft" activeCell="B29" sqref="B29"/>
    </sheetView>
  </sheetViews>
  <sheetFormatPr defaultRowHeight="14.4" x14ac:dyDescent="0.3"/>
  <cols>
    <col min="2" max="2" width="11.109375" bestFit="1" customWidth="1"/>
  </cols>
  <sheetData>
    <row r="1" spans="1:2" x14ac:dyDescent="0.3">
      <c r="A1" s="4" t="s">
        <v>37</v>
      </c>
    </row>
    <row r="3" spans="1:2" x14ac:dyDescent="0.3">
      <c r="A3" s="4" t="s">
        <v>43</v>
      </c>
    </row>
    <row r="5" spans="1:2" x14ac:dyDescent="0.3">
      <c r="A5" s="1" t="s">
        <v>44</v>
      </c>
      <c r="B5" s="5">
        <v>22000</v>
      </c>
    </row>
    <row r="6" spans="1:2" x14ac:dyDescent="0.3">
      <c r="A6" s="1" t="s">
        <v>45</v>
      </c>
      <c r="B6" s="5">
        <v>0</v>
      </c>
    </row>
    <row r="7" spans="1:2" x14ac:dyDescent="0.3">
      <c r="A7" s="1" t="s">
        <v>46</v>
      </c>
      <c r="B7" s="6">
        <f>B5+B6</f>
        <v>22000</v>
      </c>
    </row>
    <row r="8" spans="1:2" x14ac:dyDescent="0.3">
      <c r="B8" s="7"/>
    </row>
    <row r="9" spans="1:2" x14ac:dyDescent="0.3">
      <c r="B9" s="7"/>
    </row>
    <row r="10" spans="1:2" x14ac:dyDescent="0.3">
      <c r="A10" s="4" t="s">
        <v>47</v>
      </c>
      <c r="B10" s="7"/>
    </row>
    <row r="11" spans="1:2" x14ac:dyDescent="0.3">
      <c r="B11" s="7"/>
    </row>
    <row r="12" spans="1:2" x14ac:dyDescent="0.3">
      <c r="A12" s="2" t="s">
        <v>10</v>
      </c>
      <c r="B12" s="6">
        <f>SUM(Transactions!$E$2:$E$100)</f>
        <v>560</v>
      </c>
    </row>
    <row r="13" spans="1:2" x14ac:dyDescent="0.3">
      <c r="A13" s="1" t="s">
        <v>38</v>
      </c>
      <c r="B13" s="6">
        <f>SUMIF(Transactions!$F$2:$F$100,"Need",Transactions!$E$2:$E$100)</f>
        <v>0</v>
      </c>
    </row>
    <row r="14" spans="1:2" x14ac:dyDescent="0.3">
      <c r="A14" s="1" t="s">
        <v>39</v>
      </c>
      <c r="B14" s="6">
        <f>SUMIF(Transactions!$F$2:$F$100,"Want",Transactions!$E$2:$E$100)</f>
        <v>260</v>
      </c>
    </row>
    <row r="15" spans="1:2" x14ac:dyDescent="0.3">
      <c r="A15" s="1" t="s">
        <v>40</v>
      </c>
      <c r="B15" s="6">
        <f>SUMIF(Transactions!$C$2:$C$100,"Food",Transactions!$E$2:$E$100)</f>
        <v>320</v>
      </c>
    </row>
    <row r="16" spans="1:2" x14ac:dyDescent="0.3">
      <c r="A16" s="1" t="s">
        <v>41</v>
      </c>
      <c r="B16" s="6">
        <f>SUMIF(Transactions!$C$2:$C$100,"Travel",Transactions!$E$2:$E$100)</f>
        <v>240</v>
      </c>
    </row>
    <row r="17" spans="1:2" x14ac:dyDescent="0.3">
      <c r="B17" s="7"/>
    </row>
    <row r="18" spans="1:2" x14ac:dyDescent="0.3">
      <c r="B18" s="7"/>
    </row>
    <row r="19" spans="1:2" x14ac:dyDescent="0.3">
      <c r="A19" s="4" t="s">
        <v>48</v>
      </c>
      <c r="B19" s="7"/>
    </row>
    <row r="20" spans="1:2" x14ac:dyDescent="0.3">
      <c r="B20" s="7"/>
    </row>
    <row r="21" spans="1:2" x14ac:dyDescent="0.3">
      <c r="A21" s="1" t="s">
        <v>42</v>
      </c>
      <c r="B21" s="6">
        <f>B7-B12</f>
        <v>21440</v>
      </c>
    </row>
    <row r="22" spans="1:2" x14ac:dyDescent="0.3">
      <c r="A22" s="1" t="s">
        <v>49</v>
      </c>
      <c r="B22" s="1">
        <f>B21/B7%</f>
        <v>97.454545454545453</v>
      </c>
    </row>
    <row r="23" spans="1:2" x14ac:dyDescent="0.3">
      <c r="A23" s="1" t="s">
        <v>50</v>
      </c>
      <c r="B23" s="1" t="str">
        <f>IF(B21&gt;=5000,"🟢 Excellent",IF(B21&gt;=0,"🟡 Stable","🔴 Risk"))</f>
        <v>🟢 Excellent</v>
      </c>
    </row>
    <row r="24" spans="1:2" x14ac:dyDescent="0.3">
      <c r="A24" s="1" t="s">
        <v>51</v>
      </c>
      <c r="B24" s="1" t="str">
        <f>IF(B21&gt;=0,"✅ On Track","⚠️ Overspending")</f>
        <v>✅ On Track</v>
      </c>
    </row>
    <row r="27" spans="1:2" x14ac:dyDescent="0.3">
      <c r="A27" t="s">
        <v>201</v>
      </c>
      <c r="B27" s="16">
        <f>SUM(FinancialCommitments[Remaining])</f>
        <v>86000</v>
      </c>
    </row>
    <row r="29" spans="1:2" x14ac:dyDescent="0.3">
      <c r="A29" t="s">
        <v>202</v>
      </c>
      <c r="B29" s="17">
        <f>1-(SUM(FinancialCommitments[Remaining])/SUM(FinancialCommitments[Total Amount]))</f>
        <v>0</v>
      </c>
    </row>
    <row r="31" spans="1:2" x14ac:dyDescent="0.3">
      <c r="A31" t="s">
        <v>203</v>
      </c>
      <c r="B31" s="7">
        <f>B21-B27</f>
        <v>-64560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86AA-4411-496D-83B5-A5D6BB792B45}">
  <dimension ref="A1:B24"/>
  <sheetViews>
    <sheetView workbookViewId="0">
      <selection activeCell="A25" sqref="A25"/>
    </sheetView>
  </sheetViews>
  <sheetFormatPr defaultRowHeight="14.4" x14ac:dyDescent="0.3"/>
  <sheetData>
    <row r="1" spans="1:2" x14ac:dyDescent="0.3">
      <c r="A1" t="s">
        <v>52</v>
      </c>
      <c r="B1" s="8">
        <v>46174</v>
      </c>
    </row>
    <row r="2" spans="1:2" x14ac:dyDescent="0.3">
      <c r="A2" t="s">
        <v>46</v>
      </c>
    </row>
    <row r="3" spans="1:2" x14ac:dyDescent="0.3">
      <c r="A3" t="s">
        <v>10</v>
      </c>
    </row>
    <row r="4" spans="1:2" x14ac:dyDescent="0.3">
      <c r="A4" t="s">
        <v>42</v>
      </c>
    </row>
    <row r="5" spans="1:2" x14ac:dyDescent="0.3">
      <c r="A5" t="s">
        <v>49</v>
      </c>
    </row>
    <row r="6" spans="1:2" x14ac:dyDescent="0.3">
      <c r="A6" t="s">
        <v>53</v>
      </c>
    </row>
    <row r="7" spans="1:2" x14ac:dyDescent="0.3">
      <c r="A7" t="s">
        <v>54</v>
      </c>
    </row>
    <row r="8" spans="1:2" x14ac:dyDescent="0.3">
      <c r="A8" t="s">
        <v>55</v>
      </c>
    </row>
    <row r="9" spans="1:2" x14ac:dyDescent="0.3">
      <c r="A9" t="s">
        <v>56</v>
      </c>
    </row>
    <row r="10" spans="1:2" x14ac:dyDescent="0.3">
      <c r="A10" t="s">
        <v>57</v>
      </c>
    </row>
    <row r="12" spans="1:2" x14ac:dyDescent="0.3">
      <c r="A12" t="s">
        <v>58</v>
      </c>
    </row>
    <row r="18" spans="1:1" x14ac:dyDescent="0.3">
      <c r="A18" t="s">
        <v>59</v>
      </c>
    </row>
    <row r="24" spans="1:1" x14ac:dyDescent="0.3">
      <c r="A24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04F9-B9B3-40A0-AFB4-B858E144E097}">
  <dimension ref="A1:E10"/>
  <sheetViews>
    <sheetView workbookViewId="0">
      <selection activeCell="C5" sqref="C5"/>
    </sheetView>
  </sheetViews>
  <sheetFormatPr defaultRowHeight="14.4" x14ac:dyDescent="0.3"/>
  <sheetData>
    <row r="1" spans="1:5" x14ac:dyDescent="0.3">
      <c r="A1" t="s">
        <v>164</v>
      </c>
      <c r="B1" t="s">
        <v>165</v>
      </c>
      <c r="C1" t="s">
        <v>166</v>
      </c>
      <c r="D1" t="s">
        <v>167</v>
      </c>
      <c r="E1" t="s">
        <v>168</v>
      </c>
    </row>
    <row r="2" spans="1:5" x14ac:dyDescent="0.3">
      <c r="A2" t="s">
        <v>169</v>
      </c>
    </row>
    <row r="3" spans="1:5" x14ac:dyDescent="0.3">
      <c r="A3" t="s">
        <v>170</v>
      </c>
    </row>
    <row r="4" spans="1:5" x14ac:dyDescent="0.3">
      <c r="A4" t="s">
        <v>171</v>
      </c>
    </row>
    <row r="5" spans="1:5" x14ac:dyDescent="0.3">
      <c r="A5" t="s">
        <v>172</v>
      </c>
    </row>
    <row r="6" spans="1:5" x14ac:dyDescent="0.3">
      <c r="A6" t="s">
        <v>173</v>
      </c>
    </row>
    <row r="7" spans="1:5" x14ac:dyDescent="0.3">
      <c r="A7" t="s">
        <v>174</v>
      </c>
    </row>
    <row r="8" spans="1:5" x14ac:dyDescent="0.3">
      <c r="A8" t="s">
        <v>175</v>
      </c>
    </row>
    <row r="9" spans="1:5" x14ac:dyDescent="0.3">
      <c r="A9" t="s">
        <v>176</v>
      </c>
    </row>
    <row r="10" spans="1:5" x14ac:dyDescent="0.3">
      <c r="A10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2D160-B4CC-4D85-A856-F7EE7CF0468E}">
  <dimension ref="A1:G4"/>
  <sheetViews>
    <sheetView workbookViewId="0">
      <selection activeCell="G17" sqref="G17"/>
    </sheetView>
  </sheetViews>
  <sheetFormatPr defaultRowHeight="14.4" x14ac:dyDescent="0.3"/>
  <cols>
    <col min="3" max="3" width="10.21875" customWidth="1"/>
    <col min="4" max="4" width="9.33203125" customWidth="1"/>
  </cols>
  <sheetData>
    <row r="1" spans="1:7" x14ac:dyDescent="0.3">
      <c r="A1" s="4" t="s">
        <v>27</v>
      </c>
      <c r="B1" s="4" t="s">
        <v>91</v>
      </c>
      <c r="C1" s="4" t="s">
        <v>24</v>
      </c>
      <c r="D1" s="4" t="s">
        <v>2</v>
      </c>
      <c r="E1" s="4" t="s">
        <v>130</v>
      </c>
      <c r="F1" s="4" t="s">
        <v>77</v>
      </c>
      <c r="G1" s="4" t="s">
        <v>57</v>
      </c>
    </row>
    <row r="2" spans="1:7" ht="28.8" x14ac:dyDescent="0.3">
      <c r="A2" s="20">
        <v>46204</v>
      </c>
      <c r="B2" s="18" t="s">
        <v>127</v>
      </c>
      <c r="C2" s="18" t="s">
        <v>204</v>
      </c>
      <c r="D2" s="19">
        <v>22000</v>
      </c>
      <c r="E2" s="18" t="s">
        <v>205</v>
      </c>
      <c r="F2" s="18" t="s">
        <v>75</v>
      </c>
      <c r="G2" s="18" t="s">
        <v>206</v>
      </c>
    </row>
    <row r="3" spans="1:7" ht="28.8" x14ac:dyDescent="0.3">
      <c r="A3" s="20">
        <v>46218</v>
      </c>
      <c r="B3" s="18" t="s">
        <v>96</v>
      </c>
      <c r="C3" s="18" t="s">
        <v>207</v>
      </c>
      <c r="D3" s="19">
        <v>5000</v>
      </c>
      <c r="E3" s="18" t="s">
        <v>141</v>
      </c>
      <c r="F3" s="18" t="s">
        <v>76</v>
      </c>
      <c r="G3" s="18" t="s">
        <v>208</v>
      </c>
    </row>
    <row r="4" spans="1:7" ht="28.8" x14ac:dyDescent="0.3">
      <c r="A4" s="20">
        <v>46223</v>
      </c>
      <c r="B4" s="18" t="s">
        <v>209</v>
      </c>
      <c r="C4" s="18" t="s">
        <v>210</v>
      </c>
      <c r="D4" s="19">
        <v>2000</v>
      </c>
      <c r="E4" s="18" t="s">
        <v>205</v>
      </c>
      <c r="F4" s="18" t="s">
        <v>76</v>
      </c>
      <c r="G4" s="18" t="s">
        <v>198</v>
      </c>
    </row>
  </sheetData>
  <dataValidations count="3">
    <dataValidation type="list" allowBlank="1" showInputMessage="1" showErrorMessage="1" sqref="C1:C1048576" xr:uid="{AAB099C1-A8B3-48C4-9CC8-963B00866B42}">
      <formula1>IncomeCategory</formula1>
    </dataValidation>
    <dataValidation type="list" allowBlank="1" showInputMessage="1" showErrorMessage="1" sqref="F1:F1048576" xr:uid="{1C92DFEB-2AE8-49D2-A207-313DAE89FEAD}">
      <formula1>Choice</formula1>
    </dataValidation>
    <dataValidation type="list" allowBlank="1" showInputMessage="1" showErrorMessage="1" sqref="E1:E1048576" xr:uid="{F2BB9A06-4151-42A3-BDFF-588A2D9ECF8A}">
      <formula1>IncomeStatus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A8B1-D6E9-48D7-B673-8B34D210F2B5}">
  <dimension ref="A1:H4"/>
  <sheetViews>
    <sheetView workbookViewId="0">
      <selection activeCell="F8" sqref="F8"/>
    </sheetView>
  </sheetViews>
  <sheetFormatPr defaultRowHeight="14.4" x14ac:dyDescent="0.3"/>
  <cols>
    <col min="1" max="1" width="16.5546875" customWidth="1"/>
    <col min="2" max="2" width="18.5546875" customWidth="1"/>
    <col min="3" max="3" width="16.21875" customWidth="1"/>
    <col min="4" max="4" width="15.88671875" customWidth="1"/>
    <col min="5" max="5" width="11.21875" customWidth="1"/>
    <col min="6" max="6" width="12.21875" customWidth="1"/>
    <col min="7" max="7" width="9" customWidth="1"/>
  </cols>
  <sheetData>
    <row r="1" spans="1:8" ht="17.399999999999999" customHeight="1" x14ac:dyDescent="0.3">
      <c r="A1" s="29" t="s">
        <v>231</v>
      </c>
      <c r="B1" s="29" t="s">
        <v>66</v>
      </c>
      <c r="C1" s="31" t="s">
        <v>232</v>
      </c>
      <c r="D1" s="31" t="s">
        <v>233</v>
      </c>
      <c r="E1" s="29" t="s">
        <v>234</v>
      </c>
      <c r="F1" s="29" t="s">
        <v>235</v>
      </c>
      <c r="G1" s="29" t="s">
        <v>95</v>
      </c>
      <c r="H1" s="29" t="s">
        <v>130</v>
      </c>
    </row>
    <row r="2" spans="1:8" ht="20.399999999999999" customHeight="1" x14ac:dyDescent="0.3">
      <c r="A2" s="18" t="s">
        <v>86</v>
      </c>
      <c r="B2" s="18" t="s">
        <v>236</v>
      </c>
      <c r="C2" s="30">
        <v>100000</v>
      </c>
      <c r="D2" s="30">
        <v>14840</v>
      </c>
      <c r="E2" s="32">
        <v>46204</v>
      </c>
      <c r="F2" s="32">
        <v>46387</v>
      </c>
      <c r="G2" s="18" t="s">
        <v>98</v>
      </c>
      <c r="H2" s="18" t="s">
        <v>197</v>
      </c>
    </row>
    <row r="3" spans="1:8" ht="21" customHeight="1" x14ac:dyDescent="0.3">
      <c r="A3" s="18" t="s">
        <v>237</v>
      </c>
      <c r="B3" s="18" t="s">
        <v>71</v>
      </c>
      <c r="C3" s="30">
        <v>300000</v>
      </c>
      <c r="D3" s="30">
        <v>25000</v>
      </c>
      <c r="E3" s="32">
        <v>46204</v>
      </c>
      <c r="F3" s="32">
        <v>46568</v>
      </c>
      <c r="G3" s="18" t="s">
        <v>98</v>
      </c>
      <c r="H3" s="18" t="s">
        <v>197</v>
      </c>
    </row>
    <row r="4" spans="1:8" x14ac:dyDescent="0.3">
      <c r="A4" s="18" t="s">
        <v>238</v>
      </c>
      <c r="B4" s="18" t="s">
        <v>239</v>
      </c>
      <c r="C4" s="30">
        <v>200000</v>
      </c>
      <c r="D4" s="30">
        <v>10000</v>
      </c>
      <c r="E4" s="32">
        <v>46235</v>
      </c>
      <c r="F4" s="32">
        <v>46600</v>
      </c>
      <c r="G4" s="18" t="s">
        <v>99</v>
      </c>
      <c r="H4" s="18" t="s">
        <v>197</v>
      </c>
    </row>
  </sheetData>
  <dataValidations count="4">
    <dataValidation type="list" allowBlank="1" showInputMessage="1" showErrorMessage="1" sqref="B1 B181:B1048576 B101:B180" xr:uid="{303291A6-40D6-47AA-ABAF-BD2736805EF3}">
      <formula1>"GoalType"</formula1>
    </dataValidation>
    <dataValidation type="list" allowBlank="1" showInputMessage="1" showErrorMessage="1" sqref="B2:B100" xr:uid="{26D7973C-A735-47BC-A2D4-37BDB88E3128}">
      <formula1>GoalType</formula1>
    </dataValidation>
    <dataValidation type="list" allowBlank="1" showInputMessage="1" showErrorMessage="1" sqref="G2:G100" xr:uid="{263111D5-5134-4C6A-8DD8-871BE3070266}">
      <formula1>Priority</formula1>
    </dataValidation>
    <dataValidation type="list" allowBlank="1" showInputMessage="1" showErrorMessage="1" sqref="H2:H100" xr:uid="{E43D34CA-1631-4479-B887-97F5579584F3}">
      <formula1>GoalStatus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BF25-6B83-466D-AAB3-1C00FAFB6B75}">
  <dimension ref="A1:J1"/>
  <sheetViews>
    <sheetView workbookViewId="0">
      <selection activeCell="L10" sqref="L10"/>
    </sheetView>
  </sheetViews>
  <sheetFormatPr defaultRowHeight="14.4" x14ac:dyDescent="0.3"/>
  <cols>
    <col min="1" max="1" width="8.88671875" customWidth="1"/>
    <col min="2" max="2" width="12.21875" customWidth="1"/>
    <col min="4" max="4" width="10.109375" customWidth="1"/>
    <col min="5" max="5" width="16.77734375" customWidth="1"/>
    <col min="6" max="6" width="14.109375" customWidth="1"/>
  </cols>
  <sheetData>
    <row r="1" spans="1:10" x14ac:dyDescent="0.3">
      <c r="A1" t="s">
        <v>27</v>
      </c>
      <c r="B1" t="s">
        <v>69</v>
      </c>
      <c r="C1" t="s">
        <v>66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130</v>
      </c>
      <c r="J1" t="s">
        <v>57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A01-1253-4E00-BFB7-DF8A0096DD60}">
  <dimension ref="A1:I2"/>
  <sheetViews>
    <sheetView tabSelected="1" workbookViewId="0">
      <selection activeCell="B2" sqref="B2"/>
    </sheetView>
  </sheetViews>
  <sheetFormatPr defaultRowHeight="14.4" x14ac:dyDescent="0.3"/>
  <cols>
    <col min="1" max="2" width="9.6640625" customWidth="1"/>
    <col min="3" max="3" width="13.6640625" style="21" customWidth="1"/>
    <col min="4" max="4" width="20" style="21" customWidth="1"/>
    <col min="5" max="5" width="16.109375" style="21" customWidth="1"/>
    <col min="6" max="6" width="10.21875" style="33" customWidth="1"/>
    <col min="7" max="7" width="11.21875" style="28" customWidth="1"/>
    <col min="8" max="8" width="10.33203125" style="28" customWidth="1"/>
  </cols>
  <sheetData>
    <row r="1" spans="1:9" x14ac:dyDescent="0.3">
      <c r="A1" t="s">
        <v>254</v>
      </c>
      <c r="B1" t="s">
        <v>24</v>
      </c>
      <c r="C1" s="21" t="s">
        <v>255</v>
      </c>
      <c r="D1" s="21" t="s">
        <v>256</v>
      </c>
      <c r="E1" s="21" t="s">
        <v>257</v>
      </c>
      <c r="F1" s="33" t="s">
        <v>258</v>
      </c>
      <c r="G1" s="28" t="s">
        <v>234</v>
      </c>
      <c r="H1" s="28" t="s">
        <v>228</v>
      </c>
      <c r="I1" t="s">
        <v>130</v>
      </c>
    </row>
    <row r="2" spans="1:9" x14ac:dyDescent="0.3">
      <c r="A2" t="s">
        <v>230</v>
      </c>
      <c r="B2" t="s">
        <v>259</v>
      </c>
      <c r="C2" s="21">
        <v>86000</v>
      </c>
      <c r="D2" s="21">
        <v>86000</v>
      </c>
      <c r="E2" s="21">
        <v>8600</v>
      </c>
      <c r="F2" s="33">
        <v>0</v>
      </c>
      <c r="G2" s="28">
        <v>46235</v>
      </c>
      <c r="H2" s="28">
        <v>46508</v>
      </c>
      <c r="I2" t="s">
        <v>197</v>
      </c>
    </row>
  </sheetData>
  <dataValidations count="2">
    <dataValidation type="list" allowBlank="1" showInputMessage="1" showErrorMessage="1" sqref="B2:B70" xr:uid="{444B1917-D7F7-4818-80C8-8F4A52ACFF72}">
      <formula1>LoanCategory</formula1>
    </dataValidation>
    <dataValidation type="list" allowBlank="1" showInputMessage="1" showErrorMessage="1" sqref="A2:A70" xr:uid="{FFDD0255-25A1-4F8C-982E-98131995D194}">
      <formula1>LiabilityType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347A-E68F-44B6-B63F-C92671AA0A69}">
  <dimension ref="A1:G4"/>
  <sheetViews>
    <sheetView workbookViewId="0">
      <selection activeCell="K9" sqref="K9"/>
    </sheetView>
  </sheetViews>
  <sheetFormatPr defaultRowHeight="14.4" x14ac:dyDescent="0.3"/>
  <cols>
    <col min="1" max="1" width="19" customWidth="1"/>
    <col min="2" max="2" width="10.21875" customWidth="1"/>
    <col min="3" max="3" width="15.5546875" customWidth="1"/>
    <col min="4" max="4" width="14.109375" customWidth="1"/>
    <col min="5" max="5" width="14.77734375" style="28" customWidth="1"/>
  </cols>
  <sheetData>
    <row r="1" spans="1:7" x14ac:dyDescent="0.3">
      <c r="A1" t="s">
        <v>250</v>
      </c>
      <c r="B1" t="s">
        <v>24</v>
      </c>
      <c r="C1" t="s">
        <v>251</v>
      </c>
      <c r="D1" t="s">
        <v>247</v>
      </c>
      <c r="E1" s="28" t="s">
        <v>244</v>
      </c>
      <c r="F1" t="s">
        <v>130</v>
      </c>
      <c r="G1" t="s">
        <v>57</v>
      </c>
    </row>
    <row r="2" spans="1:7" x14ac:dyDescent="0.3">
      <c r="A2" s="18" t="s">
        <v>83</v>
      </c>
      <c r="B2" s="18" t="s">
        <v>252</v>
      </c>
      <c r="C2" s="18">
        <v>86000</v>
      </c>
      <c r="D2" s="18">
        <v>80000</v>
      </c>
      <c r="E2" s="32">
        <v>46197</v>
      </c>
      <c r="F2" t="s">
        <v>197</v>
      </c>
    </row>
    <row r="3" spans="1:7" x14ac:dyDescent="0.3">
      <c r="A3" s="18" t="s">
        <v>238</v>
      </c>
      <c r="B3" s="18" t="s">
        <v>253</v>
      </c>
      <c r="C3" s="18">
        <v>90000</v>
      </c>
      <c r="D3" s="18">
        <v>70000</v>
      </c>
      <c r="E3" s="32">
        <v>46174</v>
      </c>
      <c r="F3" t="s">
        <v>197</v>
      </c>
    </row>
    <row r="4" spans="1:7" ht="14.4" customHeight="1" x14ac:dyDescent="0.3">
      <c r="A4" s="18" t="s">
        <v>86</v>
      </c>
      <c r="B4" s="18" t="s">
        <v>62</v>
      </c>
      <c r="C4" s="18">
        <v>14840</v>
      </c>
      <c r="D4" s="18">
        <v>14840</v>
      </c>
      <c r="E4" s="32">
        <v>46220</v>
      </c>
      <c r="F4" t="s">
        <v>197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A9ED-FFB7-41B9-BD81-D99D84E9A097}">
  <dimension ref="A1:J35"/>
  <sheetViews>
    <sheetView workbookViewId="0">
      <selection activeCell="H23" sqref="H23"/>
    </sheetView>
  </sheetViews>
  <sheetFormatPr defaultRowHeight="14.4" x14ac:dyDescent="0.3"/>
  <sheetData>
    <row r="1" spans="1:10" x14ac:dyDescent="0.3">
      <c r="A1" s="4" t="s">
        <v>79</v>
      </c>
      <c r="J1" s="4" t="s">
        <v>124</v>
      </c>
    </row>
    <row r="3" spans="1:10" x14ac:dyDescent="0.3">
      <c r="A3" s="2" t="s">
        <v>80</v>
      </c>
      <c r="B3" s="2" t="s">
        <v>81</v>
      </c>
      <c r="J3" s="4" t="s">
        <v>111</v>
      </c>
    </row>
    <row r="4" spans="1:10" x14ac:dyDescent="0.3">
      <c r="A4" s="1"/>
      <c r="B4" s="1"/>
    </row>
    <row r="5" spans="1:10" x14ac:dyDescent="0.3">
      <c r="A5" s="1" t="s">
        <v>82</v>
      </c>
      <c r="B5" s="1">
        <v>24</v>
      </c>
      <c r="J5" t="s">
        <v>112</v>
      </c>
    </row>
    <row r="6" spans="1:10" x14ac:dyDescent="0.3">
      <c r="A6" s="1" t="s">
        <v>83</v>
      </c>
      <c r="B6" s="1" t="s">
        <v>87</v>
      </c>
    </row>
    <row r="7" spans="1:10" x14ac:dyDescent="0.3">
      <c r="A7" s="1" t="s">
        <v>84</v>
      </c>
      <c r="B7" s="1" t="s">
        <v>88</v>
      </c>
      <c r="J7" t="s">
        <v>113</v>
      </c>
    </row>
    <row r="8" spans="1:10" x14ac:dyDescent="0.3">
      <c r="A8" s="1" t="s">
        <v>85</v>
      </c>
      <c r="B8" s="1" t="s">
        <v>89</v>
      </c>
    </row>
    <row r="9" spans="1:10" x14ac:dyDescent="0.3">
      <c r="A9" s="1" t="s">
        <v>6</v>
      </c>
      <c r="B9" s="15">
        <v>8600</v>
      </c>
      <c r="J9" t="s">
        <v>114</v>
      </c>
    </row>
    <row r="10" spans="1:10" x14ac:dyDescent="0.3">
      <c r="A10" s="1" t="s">
        <v>86</v>
      </c>
      <c r="B10" s="15">
        <v>0</v>
      </c>
    </row>
    <row r="11" spans="1:10" x14ac:dyDescent="0.3">
      <c r="J11" t="s">
        <v>115</v>
      </c>
    </row>
    <row r="13" spans="1:10" x14ac:dyDescent="0.3">
      <c r="A13" s="4" t="s">
        <v>90</v>
      </c>
      <c r="J13" t="s">
        <v>113</v>
      </c>
    </row>
    <row r="15" spans="1:10" x14ac:dyDescent="0.3">
      <c r="A15" s="1" t="s">
        <v>91</v>
      </c>
      <c r="B15" s="1" t="s">
        <v>92</v>
      </c>
      <c r="C15" s="1" t="s">
        <v>93</v>
      </c>
      <c r="D15" s="1" t="s">
        <v>94</v>
      </c>
      <c r="E15" s="1" t="s">
        <v>95</v>
      </c>
      <c r="J15" t="s">
        <v>116</v>
      </c>
    </row>
    <row r="16" spans="1:10" x14ac:dyDescent="0.3">
      <c r="A16" s="1" t="s">
        <v>13</v>
      </c>
      <c r="B16" s="1" t="s">
        <v>98</v>
      </c>
      <c r="C16" s="1" t="s">
        <v>102</v>
      </c>
      <c r="D16" s="1">
        <v>22000</v>
      </c>
      <c r="E16" s="1" t="s">
        <v>107</v>
      </c>
    </row>
    <row r="17" spans="1:10" x14ac:dyDescent="0.3">
      <c r="A17" s="1" t="s">
        <v>14</v>
      </c>
      <c r="B17" s="1" t="s">
        <v>99</v>
      </c>
      <c r="C17" s="1" t="s">
        <v>103</v>
      </c>
      <c r="D17" s="1">
        <v>23000</v>
      </c>
      <c r="E17" s="1" t="s">
        <v>108</v>
      </c>
      <c r="J17" t="s">
        <v>117</v>
      </c>
    </row>
    <row r="18" spans="1:10" x14ac:dyDescent="0.3">
      <c r="A18" s="1" t="s">
        <v>15</v>
      </c>
      <c r="B18" s="1" t="s">
        <v>99</v>
      </c>
      <c r="C18" s="1" t="s">
        <v>103</v>
      </c>
      <c r="D18" s="1">
        <v>28000</v>
      </c>
      <c r="E18" s="1" t="s">
        <v>108</v>
      </c>
    </row>
    <row r="19" spans="1:10" x14ac:dyDescent="0.3">
      <c r="A19" s="1" t="s">
        <v>96</v>
      </c>
      <c r="B19" s="1" t="s">
        <v>100</v>
      </c>
      <c r="C19" s="1" t="s">
        <v>104</v>
      </c>
      <c r="D19" s="1" t="s">
        <v>106</v>
      </c>
      <c r="E19" s="1" t="s">
        <v>109</v>
      </c>
      <c r="J19" t="s">
        <v>113</v>
      </c>
    </row>
    <row r="20" spans="1:10" x14ac:dyDescent="0.3">
      <c r="A20" s="1" t="s">
        <v>97</v>
      </c>
      <c r="B20" s="1" t="s">
        <v>101</v>
      </c>
      <c r="C20" s="1" t="s">
        <v>105</v>
      </c>
      <c r="D20" s="1" t="s">
        <v>106</v>
      </c>
      <c r="E20" s="1" t="s">
        <v>110</v>
      </c>
    </row>
    <row r="21" spans="1:10" x14ac:dyDescent="0.3">
      <c r="J21" t="s">
        <v>118</v>
      </c>
    </row>
    <row r="23" spans="1:10" x14ac:dyDescent="0.3">
      <c r="J23" t="s">
        <v>119</v>
      </c>
    </row>
    <row r="25" spans="1:10" x14ac:dyDescent="0.3">
      <c r="J25" t="s">
        <v>113</v>
      </c>
    </row>
    <row r="27" spans="1:10" x14ac:dyDescent="0.3">
      <c r="J27" t="s">
        <v>120</v>
      </c>
    </row>
    <row r="29" spans="1:10" x14ac:dyDescent="0.3">
      <c r="J29" t="s">
        <v>121</v>
      </c>
    </row>
    <row r="31" spans="1:10" x14ac:dyDescent="0.3">
      <c r="J31" t="s">
        <v>113</v>
      </c>
    </row>
    <row r="33" spans="10:10" x14ac:dyDescent="0.3">
      <c r="J33" t="s">
        <v>122</v>
      </c>
    </row>
    <row r="35" spans="10:10" x14ac:dyDescent="0.3">
      <c r="J35" t="s">
        <v>123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0065-A33A-40A3-8681-B93160D6FE12}">
  <dimension ref="A1:Q5"/>
  <sheetViews>
    <sheetView topLeftCell="A2" workbookViewId="0">
      <selection activeCell="A2" sqref="A2:J50"/>
    </sheetView>
  </sheetViews>
  <sheetFormatPr defaultRowHeight="14.4" x14ac:dyDescent="0.3"/>
  <cols>
    <col min="1" max="1" width="10.77734375" customWidth="1"/>
    <col min="4" max="4" width="13.6640625" customWidth="1"/>
    <col min="5" max="5" width="14.77734375" customWidth="1"/>
    <col min="7" max="7" width="11.33203125" customWidth="1"/>
  </cols>
  <sheetData>
    <row r="1" spans="1:17" x14ac:dyDescent="0.3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178</v>
      </c>
      <c r="H1" t="s">
        <v>131</v>
      </c>
      <c r="I1" t="s">
        <v>179</v>
      </c>
      <c r="J1" t="s">
        <v>57</v>
      </c>
      <c r="Q1" t="s">
        <v>147</v>
      </c>
    </row>
    <row r="2" spans="1:17" x14ac:dyDescent="0.3">
      <c r="A2" t="s">
        <v>13</v>
      </c>
      <c r="B2" t="s">
        <v>142</v>
      </c>
      <c r="C2">
        <v>22000</v>
      </c>
      <c r="F2" t="s">
        <v>132</v>
      </c>
      <c r="Q2" t="s">
        <v>133</v>
      </c>
    </row>
    <row r="3" spans="1:17" x14ac:dyDescent="0.3">
      <c r="A3" t="s">
        <v>14</v>
      </c>
      <c r="B3" t="s">
        <v>143</v>
      </c>
      <c r="C3">
        <v>23000</v>
      </c>
      <c r="F3" t="s">
        <v>132</v>
      </c>
      <c r="Q3" t="s">
        <v>148</v>
      </c>
    </row>
    <row r="4" spans="1:17" x14ac:dyDescent="0.3">
      <c r="A4" t="s">
        <v>15</v>
      </c>
      <c r="B4" t="s">
        <v>144</v>
      </c>
      <c r="C4">
        <v>28000</v>
      </c>
      <c r="F4" t="s">
        <v>132</v>
      </c>
      <c r="Q4" t="s">
        <v>149</v>
      </c>
    </row>
    <row r="5" spans="1:17" x14ac:dyDescent="0.3">
      <c r="A5" t="s">
        <v>145</v>
      </c>
      <c r="B5" t="s">
        <v>146</v>
      </c>
      <c r="C5">
        <v>20000</v>
      </c>
      <c r="F5" t="s">
        <v>132</v>
      </c>
      <c r="Q5" t="s">
        <v>150</v>
      </c>
    </row>
  </sheetData>
  <dataValidations count="4">
    <dataValidation type="list" allowBlank="1" showInputMessage="1" showErrorMessage="1" sqref="F2:F50" xr:uid="{B7B46CB3-D4D6-4415-A547-30F33809F18A}">
      <formula1>AppliedStatus</formula1>
    </dataValidation>
    <dataValidation type="list" allowBlank="1" showInputMessage="1" showErrorMessage="1" sqref="H2:H50" xr:uid="{A0AB4D2E-03DC-499E-A809-B6BDCD0E9591}">
      <formula1>InterviewResult</formula1>
    </dataValidation>
    <dataValidation type="list" allowBlank="1" showInputMessage="1" showErrorMessage="1" sqref="G1:G1048576" xr:uid="{DAD8A552-FAB1-4D16-90F0-ACE3B457489B}">
      <formula1>InterviewRound</formula1>
    </dataValidation>
    <dataValidation type="list" allowBlank="1" showInputMessage="1" showErrorMessage="1" sqref="I1:I1048576" xr:uid="{F32AF372-FB7D-40CA-8785-F217A85AC485}">
      <formula1>NextAction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6AC4-05BC-4C7B-BA73-388CE26BAB52}">
  <dimension ref="A1:E11"/>
  <sheetViews>
    <sheetView workbookViewId="0">
      <selection activeCell="G10" sqref="G10"/>
    </sheetView>
  </sheetViews>
  <sheetFormatPr defaultRowHeight="14.4" x14ac:dyDescent="0.3"/>
  <sheetData>
    <row r="1" spans="1:5" x14ac:dyDescent="0.3">
      <c r="A1" s="4" t="s">
        <v>151</v>
      </c>
      <c r="B1" s="4" t="s">
        <v>130</v>
      </c>
      <c r="C1" s="4" t="s">
        <v>152</v>
      </c>
      <c r="D1" s="4" t="s">
        <v>153</v>
      </c>
      <c r="E1" s="4" t="s">
        <v>57</v>
      </c>
    </row>
    <row r="2" spans="1:5" x14ac:dyDescent="0.3">
      <c r="A2" t="s">
        <v>154</v>
      </c>
    </row>
    <row r="3" spans="1:5" x14ac:dyDescent="0.3">
      <c r="A3" t="s">
        <v>155</v>
      </c>
    </row>
    <row r="4" spans="1:5" x14ac:dyDescent="0.3">
      <c r="A4" t="s">
        <v>156</v>
      </c>
    </row>
    <row r="5" spans="1:5" x14ac:dyDescent="0.3">
      <c r="A5" t="s">
        <v>157</v>
      </c>
    </row>
    <row r="6" spans="1:5" x14ac:dyDescent="0.3">
      <c r="A6" t="s">
        <v>158</v>
      </c>
    </row>
    <row r="7" spans="1:5" x14ac:dyDescent="0.3">
      <c r="A7" t="s">
        <v>159</v>
      </c>
    </row>
    <row r="8" spans="1:5" x14ac:dyDescent="0.3">
      <c r="A8" t="s">
        <v>160</v>
      </c>
    </row>
    <row r="9" spans="1:5" x14ac:dyDescent="0.3">
      <c r="A9" t="s">
        <v>161</v>
      </c>
    </row>
    <row r="10" spans="1:5" x14ac:dyDescent="0.3">
      <c r="A10" t="s">
        <v>162</v>
      </c>
    </row>
    <row r="11" spans="1:5" x14ac:dyDescent="0.3">
      <c r="A11" t="s">
        <v>163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4158-2DD5-48A6-9BEC-2F739409F312}">
  <dimension ref="A1:Q25"/>
  <sheetViews>
    <sheetView topLeftCell="A10" workbookViewId="0">
      <selection activeCell="M23" sqref="L23:M24"/>
    </sheetView>
  </sheetViews>
  <sheetFormatPr defaultRowHeight="14.4" x14ac:dyDescent="0.3"/>
  <sheetData>
    <row r="1" spans="1:17" x14ac:dyDescent="0.3">
      <c r="A1" t="s">
        <v>28</v>
      </c>
      <c r="C1" t="s">
        <v>35</v>
      </c>
      <c r="E1" t="s">
        <v>62</v>
      </c>
      <c r="G1" t="s">
        <v>67</v>
      </c>
      <c r="I1" t="s">
        <v>75</v>
      </c>
      <c r="K1" t="s">
        <v>132</v>
      </c>
      <c r="M1" t="s">
        <v>141</v>
      </c>
      <c r="O1" t="s">
        <v>184</v>
      </c>
      <c r="Q1" t="s">
        <v>186</v>
      </c>
    </row>
    <row r="2" spans="1:17" x14ac:dyDescent="0.3">
      <c r="A2" t="s">
        <v>9</v>
      </c>
      <c r="C2" t="s">
        <v>36</v>
      </c>
      <c r="E2" t="s">
        <v>63</v>
      </c>
      <c r="G2" t="s">
        <v>68</v>
      </c>
      <c r="I2" t="s">
        <v>76</v>
      </c>
      <c r="K2" t="s">
        <v>133</v>
      </c>
      <c r="M2" t="s">
        <v>137</v>
      </c>
      <c r="O2" t="s">
        <v>180</v>
      </c>
      <c r="Q2" t="s">
        <v>187</v>
      </c>
    </row>
    <row r="3" spans="1:17" x14ac:dyDescent="0.3">
      <c r="A3" t="s">
        <v>7</v>
      </c>
      <c r="E3" t="s">
        <v>64</v>
      </c>
      <c r="G3" t="s">
        <v>69</v>
      </c>
      <c r="K3" t="s">
        <v>134</v>
      </c>
      <c r="M3" t="s">
        <v>139</v>
      </c>
      <c r="O3" t="s">
        <v>185</v>
      </c>
      <c r="Q3" t="s">
        <v>188</v>
      </c>
    </row>
    <row r="4" spans="1:17" x14ac:dyDescent="0.3">
      <c r="A4" t="s">
        <v>6</v>
      </c>
      <c r="E4" t="s">
        <v>65</v>
      </c>
      <c r="G4" t="s">
        <v>70</v>
      </c>
      <c r="I4" t="s">
        <v>205</v>
      </c>
      <c r="K4" t="s">
        <v>135</v>
      </c>
      <c r="O4" t="s">
        <v>135</v>
      </c>
      <c r="Q4" t="s">
        <v>189</v>
      </c>
    </row>
    <row r="5" spans="1:17" x14ac:dyDescent="0.3">
      <c r="A5" t="s">
        <v>29</v>
      </c>
      <c r="I5" t="s">
        <v>141</v>
      </c>
      <c r="K5" t="s">
        <v>136</v>
      </c>
      <c r="O5" t="s">
        <v>181</v>
      </c>
      <c r="Q5" t="s">
        <v>190</v>
      </c>
    </row>
    <row r="6" spans="1:17" x14ac:dyDescent="0.3">
      <c r="A6" t="s">
        <v>30</v>
      </c>
      <c r="K6" t="s">
        <v>183</v>
      </c>
      <c r="Q6" t="s">
        <v>182</v>
      </c>
    </row>
    <row r="7" spans="1:17" x14ac:dyDescent="0.3">
      <c r="A7" t="s">
        <v>31</v>
      </c>
      <c r="C7" t="s">
        <v>204</v>
      </c>
      <c r="I7" t="s">
        <v>197</v>
      </c>
      <c r="K7" t="s">
        <v>138</v>
      </c>
      <c r="Q7" t="s">
        <v>191</v>
      </c>
    </row>
    <row r="8" spans="1:17" x14ac:dyDescent="0.3">
      <c r="A8" t="s">
        <v>32</v>
      </c>
      <c r="C8" t="s">
        <v>96</v>
      </c>
      <c r="I8" t="s">
        <v>218</v>
      </c>
      <c r="K8" t="s">
        <v>137</v>
      </c>
    </row>
    <row r="9" spans="1:17" x14ac:dyDescent="0.3">
      <c r="A9" t="s">
        <v>33</v>
      </c>
      <c r="C9" t="s">
        <v>211</v>
      </c>
      <c r="K9" t="s">
        <v>139</v>
      </c>
    </row>
    <row r="10" spans="1:17" x14ac:dyDescent="0.3">
      <c r="A10" t="s">
        <v>71</v>
      </c>
      <c r="C10" t="s">
        <v>212</v>
      </c>
      <c r="E10" t="s">
        <v>236</v>
      </c>
      <c r="F10" t="s">
        <v>98</v>
      </c>
      <c r="G10" t="s">
        <v>197</v>
      </c>
      <c r="K10" t="s">
        <v>140</v>
      </c>
    </row>
    <row r="11" spans="1:17" x14ac:dyDescent="0.3">
      <c r="A11" t="s">
        <v>72</v>
      </c>
      <c r="C11" t="s">
        <v>213</v>
      </c>
      <c r="E11" t="s">
        <v>239</v>
      </c>
      <c r="F11" t="s">
        <v>99</v>
      </c>
      <c r="G11" t="s">
        <v>241</v>
      </c>
    </row>
    <row r="12" spans="1:17" x14ac:dyDescent="0.3">
      <c r="A12" t="s">
        <v>73</v>
      </c>
      <c r="C12" t="s">
        <v>214</v>
      </c>
      <c r="E12" t="s">
        <v>71</v>
      </c>
      <c r="F12" t="s">
        <v>240</v>
      </c>
      <c r="G12" t="s">
        <v>242</v>
      </c>
    </row>
    <row r="13" spans="1:17" x14ac:dyDescent="0.3">
      <c r="A13" t="s">
        <v>69</v>
      </c>
      <c r="C13" t="s">
        <v>215</v>
      </c>
      <c r="E13" t="s">
        <v>69</v>
      </c>
      <c r="G13" t="s">
        <v>243</v>
      </c>
    </row>
    <row r="14" spans="1:17" x14ac:dyDescent="0.3">
      <c r="A14" t="s">
        <v>74</v>
      </c>
      <c r="C14" t="s">
        <v>210</v>
      </c>
      <c r="E14" t="s">
        <v>32</v>
      </c>
    </row>
    <row r="15" spans="1:17" ht="28.8" x14ac:dyDescent="0.3">
      <c r="A15" t="s">
        <v>34</v>
      </c>
      <c r="C15" t="s">
        <v>216</v>
      </c>
      <c r="E15" t="s">
        <v>9</v>
      </c>
      <c r="I15" s="18" t="s">
        <v>230</v>
      </c>
      <c r="J15" s="18" t="s">
        <v>259</v>
      </c>
    </row>
    <row r="16" spans="1:17" ht="43.2" x14ac:dyDescent="0.3">
      <c r="C16" t="s">
        <v>34</v>
      </c>
      <c r="E16" t="s">
        <v>34</v>
      </c>
      <c r="I16" s="18" t="s">
        <v>260</v>
      </c>
      <c r="J16" s="18" t="s">
        <v>200</v>
      </c>
    </row>
    <row r="17" spans="1:10" ht="28.8" x14ac:dyDescent="0.3">
      <c r="I17" s="18" t="s">
        <v>261</v>
      </c>
      <c r="J17" s="18" t="s">
        <v>262</v>
      </c>
    </row>
    <row r="18" spans="1:10" ht="28.8" x14ac:dyDescent="0.3">
      <c r="A18" t="s">
        <v>196</v>
      </c>
      <c r="I18" s="18" t="s">
        <v>263</v>
      </c>
      <c r="J18" s="18" t="s">
        <v>264</v>
      </c>
    </row>
    <row r="19" spans="1:10" ht="28.8" x14ac:dyDescent="0.3">
      <c r="A19" t="s">
        <v>199</v>
      </c>
      <c r="I19" s="18" t="s">
        <v>265</v>
      </c>
      <c r="J19" s="18" t="s">
        <v>265</v>
      </c>
    </row>
    <row r="20" spans="1:10" ht="28.8" x14ac:dyDescent="0.3">
      <c r="A20" t="s">
        <v>200</v>
      </c>
      <c r="I20" s="18" t="s">
        <v>266</v>
      </c>
      <c r="J20" s="18" t="s">
        <v>266</v>
      </c>
    </row>
    <row r="21" spans="1:10" ht="28.8" x14ac:dyDescent="0.3">
      <c r="A21" t="s">
        <v>6</v>
      </c>
      <c r="I21" s="18" t="s">
        <v>267</v>
      </c>
      <c r="J21" s="18" t="s">
        <v>267</v>
      </c>
    </row>
    <row r="22" spans="1:10" ht="28.8" x14ac:dyDescent="0.3">
      <c r="A22" t="s">
        <v>223</v>
      </c>
      <c r="I22" s="18" t="s">
        <v>268</v>
      </c>
      <c r="J22" s="18" t="s">
        <v>268</v>
      </c>
    </row>
    <row r="23" spans="1:10" ht="28.8" x14ac:dyDescent="0.3">
      <c r="A23" t="s">
        <v>224</v>
      </c>
      <c r="I23" s="18" t="s">
        <v>269</v>
      </c>
      <c r="J23" s="18" t="s">
        <v>270</v>
      </c>
    </row>
    <row r="24" spans="1:10" ht="28.8" x14ac:dyDescent="0.3">
      <c r="I24" s="18" t="s">
        <v>196</v>
      </c>
      <c r="J24" s="18" t="s">
        <v>196</v>
      </c>
    </row>
    <row r="25" spans="1:10" x14ac:dyDescent="0.3">
      <c r="I25" s="18" t="s">
        <v>34</v>
      </c>
      <c r="J25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Plan</vt:lpstr>
      <vt:lpstr>Transactions</vt:lpstr>
      <vt:lpstr>Budget Sheet</vt:lpstr>
      <vt:lpstr>Financial Commitments</vt:lpstr>
      <vt:lpstr>Dashboard</vt:lpstr>
      <vt:lpstr>Monthly Review</vt:lpstr>
      <vt:lpstr>Skill Tracker</vt:lpstr>
      <vt:lpstr>Income</vt:lpstr>
      <vt:lpstr>Financial Goals</vt:lpstr>
      <vt:lpstr>Investments</vt:lpstr>
      <vt:lpstr>Liabilities</vt:lpstr>
      <vt:lpstr>Assets</vt:lpstr>
      <vt:lpstr>Income engine</vt:lpstr>
      <vt:lpstr>Carrer Tracker</vt:lpstr>
      <vt:lpstr>Interview Prep</vt:lpstr>
      <vt:lpstr>Lists</vt:lpstr>
      <vt:lpstr>AppliedStatus</vt:lpstr>
      <vt:lpstr>Categories</vt:lpstr>
      <vt:lpstr>Choice</vt:lpstr>
      <vt:lpstr>CommitmentStatus</vt:lpstr>
      <vt:lpstr>GoalStatus</vt:lpstr>
      <vt:lpstr>GoalType</vt:lpstr>
      <vt:lpstr>IncomeCategory</vt:lpstr>
      <vt:lpstr>IncomeStatus</vt:lpstr>
      <vt:lpstr>InterviewResult</vt:lpstr>
      <vt:lpstr>InterviewRound</vt:lpstr>
      <vt:lpstr>LiabilityType</vt:lpstr>
      <vt:lpstr>LoanCategory</vt:lpstr>
      <vt:lpstr>LoanType</vt:lpstr>
      <vt:lpstr>NeedWant</vt:lpstr>
      <vt:lpstr>NextAction</vt:lpstr>
      <vt:lpstr>PaymentMode</vt:lpstr>
      <vt:lpstr>Priority</vt:lpstr>
      <vt:lpstr>TransactionType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manjhi</dc:creator>
  <cp:lastModifiedBy>pratham manjhi</cp:lastModifiedBy>
  <dcterms:created xsi:type="dcterms:W3CDTF">2026-06-24T17:06:36Z</dcterms:created>
  <dcterms:modified xsi:type="dcterms:W3CDTF">2026-07-23T13:40:58Z</dcterms:modified>
</cp:coreProperties>
</file>