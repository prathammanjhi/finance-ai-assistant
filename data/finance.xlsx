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B0983308-D2AC-4F9A-A500-FE05507656B7}" xr6:coauthVersionLast="47" xr6:coauthVersionMax="47" xr10:uidLastSave="{00000000-0000-0000-0000-000000000000}"/>
  <bookViews>
    <workbookView xWindow="-108" yWindow="-108" windowWidth="23256" windowHeight="12456" firstSheet="1" activeTab="1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2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<sst xmlns="http://schemas.openxmlformats.org/spreadsheetml/2006/main" count="319" uniqueCount="229">
  <si>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</si>
  <si>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</si>
  <si>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</si>
  <si>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</si>
  <si>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</si>
  <si>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</si>
  <si>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</si>
  <si>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</si>
  <si>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</si>
  <si>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</si>
  <si>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</si>
  <si>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</si>
  <si>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</si>
  <si>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</si>
  <si>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</si>
  <si>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</si>
  <si>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</si>
  <si>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</si>
  <si>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</si>
  <si>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</si>
  <si>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</si>
  <si>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</si>
  <si>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</si>
  <si>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</si>
  <si>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</si>
  <si>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</si>
  <si>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</si>
  <si>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</si>
  <si>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</si>
  <si>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</si>
  <si>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</si>
  <si>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</si>
  <si>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</si>
  <si>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</si>
  <si>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</si>
  <si>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</si>
  <si>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</si>
  <si>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</si>
  <si>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</si>
  <si>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</si>
  <si>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</si>
  <si>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</si>
  <si>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</si>
  <si>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</si>
  <si>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</si>
  <si>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</si>
  <si>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</si>
  <si>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</si>
  <si>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</si>
  <si>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</si>
  <si>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</si>
  <si>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</si>
  <si>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</si>
  <si>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</si>
  <si>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</si>
  <si>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</si>
  <si>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</si>
  <si>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</si>
  <si>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</si>
  <si>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</si>
  <si>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</si>
  <si>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</si>
  <si>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</si>
  <si>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</si>
  <si>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</si>
  <si>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</si>
  <si>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</si>
  <si>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</si>
  <si>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</si>
  <si>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</si>
  <si>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</si>
  <si>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</si>
  <si>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</si>
  <si>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</si>
  <si>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</si>
  <si>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</si>
  <si>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</si>
  <si>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</si>
  <si>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</si>
  <si>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</si>
  <si>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</si>
  <si>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</si>
  <si>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</si>
  <si>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</si>
  <si>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</si>
  <si>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</si>
  <si>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</si>
  <si>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</si>
  <si>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</si>
  <si>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</si>
  <si>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</si>
  <si>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</si>
  <si>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</si>
  <si>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</si>
  <si>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</si>
  <si>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</si>
  <si>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</si>
  <si>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</si>
  <si>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</si>
  <si>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</si>
  <si>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</si>
  <si>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</si>
  <si>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</si>
  <si>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</si>
  <si>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</si>
  <si>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</si>
  <si>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</si>
  <si>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</si>
  <si>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</si>
  <si>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</si>
  <si>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</si>
  <si>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</si>
  <si>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</si>
  <si>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</si>
  <si>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</si>
  <si>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</si>
  <si>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</si>
  <si>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</si>
  <si>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</si>
  <si>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</si>
  <si>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</si>
  <si>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</si>
  <si>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</si>
  <si>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</si>
  <si>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</si>
  <si>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</si>
  <si>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</si>
  <si>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</si>
  <si>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</si>
  <si>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</si>
  <si>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</si>
  <si>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</si>
  <si>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</si>
  <si>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</si>
  <si>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</si>
  <si>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</si>
  <si>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</si>
  <si>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</si>
  <si>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</si>
  <si>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</si>
  <si>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</si>
  <si>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</si>
  <si>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</si>
  <si>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</si>
  <si>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</si>
  <si>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</si>
  <si>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</si>
  <si>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</si>
  <si>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</si>
  <si>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</si>
  <si>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</si>
  <si>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</si>
  <si>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</si>
  <si>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</si>
  <si>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</si>
  <si>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</si>
  <si>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</si>
  <si>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</si>
  <si>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</si>
  <si>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</si>
  <si>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</si>
  <si>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</si>
  <si>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</si>
  <si>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</si>
  <si>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</si>
  <si>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</si>
  <si>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</si>
  <si>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</si>
  <si>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</si>
  <si>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</si>
  <si>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</si>
  <si>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</si>
  <si>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</si>
  <si>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</si>
  <si>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</si>
  <si>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</si>
  <si>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</si>
  <si>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</si>
  <si>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</si>
  <si>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</si>
  <si>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</si>
  <si>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</si>
  <si>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</si>
  <si>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</si>
  <si>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</si>
  <si>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</si>
  <si>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</si>
  <si>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</si>
  <si>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</si>
  <si>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</si>
  <si>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</si>
  <si>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</si>
  <si>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</si>
  <si>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</si>
  <si>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</si>
  <si>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</si>
  <si>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</si>
  <si>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</si>
  <si>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</si>
  <si>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</si>
  <si>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</si>
  <si>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</si>
  <si>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</si>
  <si>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</si>
  <si>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</si>
  <si>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</si>
  <si>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</si>
  <si>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</si>
  <si>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</si>
  <si>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</si>
  <si>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</si>
  <si>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</si>
  <si>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</si>
  <si>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</si>
  <si>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</si>
  <si>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</si>
  <si>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</si>
  <si>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</si>
  <si>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</si>
  <si>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</si>
  <si>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</si>
  <si>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</si>
  <si>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</si>
  <si>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</si>
  <si>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</si>
  <si>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June</t>
  </si>
  <si>
    <t>rapido</t>
  </si>
  <si>
    <t>june</t>
  </si>
  <si>
    <t>breakfast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</si>
</sst>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2" fillId="2" borderId="0" xfId="0" applyNumberFormat="1" applyFont="1" applyFill="1"/>
    <xf numFmtId="164" fontId="0" fillId="5" borderId="6" xfId="0" applyNumberFormat="1" applyFill="1" applyBorder="1"/>
    <xf numFmtId="164" fontId="0" fillId="0" borderId="6" xfId="0" applyNumberFormat="1" applyBorder="1"/>
    <xf numFmtId="164" fontId="0" fillId="5" borderId="3" xfId="0" applyNumberFormat="1" applyFill="1" applyBorder="1"/>
  </cellXfs>
  <cellStyles count="2">
    <cellStyle name="Normal" xfId="0" builtinId="0"/>
    <cellStyle name="Percent" xfId="1" builtinId="5"/>
  </cellStyles>
  <dxfs count="17">
    <dxf>
      <numFmt numFmtId="164" formatCode="&quot;₹&quot;\ #,##0.0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13" tableBorderDxfId="12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0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 dataDxfId="16"/>
    <tableColumn id="5" xr3:uid="{C982624C-E448-4958-A5CE-7D794FC142FA}" name="Repaid" dataDxfId="15"/>
    <tableColumn id="6" xr3:uid="{665D5056-3744-4E56-95C7-F0943FD35707}" name="Remaining" dataDxfId="14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1" dataDxfId="10">
  <autoFilter ref="A1:G4" xr:uid="{7C5D4057-F5F1-485E-AE6E-34A855BB81C8}"/>
  <tableColumns count="7">
    <tableColumn id="1" xr3:uid="{85417279-B333-4129-826F-4B13A464B0A1}" name="Date" dataDxfId="9"/>
    <tableColumn id="2" xr3:uid="{72151722-7F6E-43AF-AADF-05A0452D151E}" name="Source" dataDxfId="8"/>
    <tableColumn id="3" xr3:uid="{A9F1D760-964B-4BC4-876E-FE2B218C85B6}" name="Category" dataDxfId="7"/>
    <tableColumn id="4" xr3:uid="{31C0BCAE-AC93-4345-9B1C-546CE0735A6B}" name="Amount" dataDxfId="6"/>
    <tableColumn id="5" xr3:uid="{C6E99480-C881-404B-8F25-E2549BD2CCCD}" name="Status" dataDxfId="5"/>
    <tableColumn id="7" xr3:uid="{29AC2CCC-8D50-4D4F-9049-D5CBB08CDAB6}" name="Recurring" dataDxfId="4"/>
    <tableColumn id="6" xr3:uid="{4D5A0A55-4298-4332-9A93-683CDAE35676}" name="Notes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1" t="s">
        <v>0</v>
      </c>
      <c r="B1" s="31"/>
      <c r="C1" s="31"/>
      <c r="D1" s="31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2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tabSelected="1" workbookViewId="0">
      <selection activeCell="E6" sqref="E6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style="30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52</v>
      </c>
      <c r="C1" s="22" t="s">
        <v>78</v>
      </c>
      <c r="D1" s="21" t="s">
        <v>66</v>
      </c>
      <c r="E1" s="21" t="s">
        <v>24</v>
      </c>
      <c r="F1" s="21" t="s">
        <v>25</v>
      </c>
      <c r="G1" s="32" t="s">
        <v>2</v>
      </c>
      <c r="H1" s="21" t="s">
        <v>26</v>
      </c>
      <c r="I1" s="21" t="s">
        <v>61</v>
      </c>
      <c r="J1" s="21" t="s">
        <v>77</v>
      </c>
    </row>
    <row r="2" spans="1:10" x14ac:dyDescent="0.3">
      <c r="A2" s="12">
        <v>46201</v>
      </c>
      <c r="B2" s="13" t="str">
        <f>TEXT(Transactions!$A2,"mmmm")</f>
        <v>June</v>
      </c>
      <c r="C2" s="14">
        <v>2026</v>
      </c>
      <c r="D2" s="13" t="s">
        <v>67</v>
      </c>
      <c r="E2" s="13" t="s">
        <v>28</v>
      </c>
      <c r="F2" s="13" t="s">
        <v>222</v>
      </c>
      <c r="G2" s="33">
        <v>260</v>
      </c>
      <c r="H2" s="13" t="s">
        <v>36</v>
      </c>
      <c r="I2" s="13" t="s">
        <v>62</v>
      </c>
      <c r="J2" s="13" t="s">
        <v>76</v>
      </c>
    </row>
    <row r="3" spans="1:10" x14ac:dyDescent="0.3">
      <c r="A3" s="15">
        <v>46204</v>
      </c>
      <c r="B3" s="16" t="s">
        <v>225</v>
      </c>
      <c r="C3" s="17">
        <v>2026</v>
      </c>
      <c r="D3" s="16" t="s">
        <v>67</v>
      </c>
      <c r="E3" s="16" t="s">
        <v>9</v>
      </c>
      <c r="F3" s="16" t="s">
        <v>226</v>
      </c>
      <c r="G3" s="34">
        <v>40</v>
      </c>
      <c r="H3" s="16" t="s">
        <v>35</v>
      </c>
      <c r="I3" s="16" t="s">
        <v>62</v>
      </c>
      <c r="J3" s="16" t="s">
        <v>76</v>
      </c>
    </row>
    <row r="4" spans="1:10" x14ac:dyDescent="0.3">
      <c r="A4" s="12">
        <v>46205</v>
      </c>
      <c r="B4" s="13" t="s">
        <v>227</v>
      </c>
      <c r="C4" s="14">
        <v>2026</v>
      </c>
      <c r="D4" s="13" t="s">
        <v>67</v>
      </c>
      <c r="E4" s="13" t="s">
        <v>9</v>
      </c>
      <c r="F4" s="13" t="s">
        <v>226</v>
      </c>
      <c r="G4" s="33">
        <v>200</v>
      </c>
      <c r="H4" s="13" t="s">
        <v>35</v>
      </c>
      <c r="I4" s="13" t="s">
        <v>63</v>
      </c>
      <c r="J4" s="13" t="s">
        <v>76</v>
      </c>
    </row>
    <row r="5" spans="1:10" x14ac:dyDescent="0.3">
      <c r="A5" s="15">
        <v>46205</v>
      </c>
      <c r="B5" s="16" t="str">
        <f>TEXT(Transactions!$A5,"mmmm")</f>
        <v>July</v>
      </c>
      <c r="C5" s="17">
        <v>2026</v>
      </c>
      <c r="D5" s="16" t="s">
        <v>67</v>
      </c>
      <c r="E5" s="16" t="s">
        <v>28</v>
      </c>
      <c r="F5" s="16" t="s">
        <v>228</v>
      </c>
      <c r="G5" s="34">
        <v>60</v>
      </c>
      <c r="H5" s="16" t="s">
        <v>35</v>
      </c>
      <c r="I5" s="16" t="s">
        <v>62</v>
      </c>
      <c r="J5" s="16" t="s">
        <v>76</v>
      </c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3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34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3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34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3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34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3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34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3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34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3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34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3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34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3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34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3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34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3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34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3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34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3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34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3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34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3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34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3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34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3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34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3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34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3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34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3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34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3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34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3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34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3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34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3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34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3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34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3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34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3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34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3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34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3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34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3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34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3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34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3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34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3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34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3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34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3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34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3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34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3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34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3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34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3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34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3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34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3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34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3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34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3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34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3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34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3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34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3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34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3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34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3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34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35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560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260</v>
      </c>
    </row>
    <row r="15" spans="1:2" x14ac:dyDescent="0.3">
      <c r="A15" s="1" t="s">
        <v>40</v>
      </c>
      <c r="B15" s="6">
        <f>SUMIF(Transactions!$E$2:$E$100,"Food",Transactions!$G$2:$G$100)</f>
        <v>320</v>
      </c>
    </row>
    <row r="16" spans="1:2" x14ac:dyDescent="0.3">
      <c r="A16" s="1" t="s">
        <v>41</v>
      </c>
      <c r="B16" s="6">
        <f>SUMIF(Transactions!$E$2:$E$100,"Travel",Transactions!$G$2:$G$100)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25">
        <f>SUM(FinancialCommitments[Remaining])</f>
        <v>11000</v>
      </c>
    </row>
    <row r="29" spans="1:2" x14ac:dyDescent="0.3">
      <c r="A29" t="s">
        <v>207</v>
      </c>
      <c r="B29" s="26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10440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workbookViewId="0">
      <selection activeCell="K7" sqref="K7"/>
    </sheetView>
  </sheetViews>
  <sheetFormatPr defaultRowHeight="14.4" x14ac:dyDescent="0.3"/>
  <cols>
    <col min="4" max="4" width="13" style="30" customWidth="1"/>
    <col min="5" max="5" width="9.44140625" style="30" bestFit="1" customWidth="1"/>
    <col min="6" max="6" width="11.6640625" style="30" customWidth="1"/>
    <col min="7" max="7" width="10.33203125" customWidth="1"/>
  </cols>
  <sheetData>
    <row r="1" spans="1:9" x14ac:dyDescent="0.3">
      <c r="A1" t="s">
        <v>192</v>
      </c>
      <c r="B1" t="s">
        <v>193</v>
      </c>
      <c r="C1" t="s">
        <v>66</v>
      </c>
      <c r="D1" s="30" t="s">
        <v>2</v>
      </c>
      <c r="E1" s="30" t="s">
        <v>194</v>
      </c>
      <c r="F1" s="30" t="s">
        <v>195</v>
      </c>
      <c r="G1" t="s">
        <v>196</v>
      </c>
      <c r="H1" t="s">
        <v>130</v>
      </c>
      <c r="I1" t="s">
        <v>57</v>
      </c>
    </row>
    <row r="2" spans="1:9" x14ac:dyDescent="0.3">
      <c r="A2" s="24">
        <v>46204</v>
      </c>
      <c r="B2" t="s">
        <v>197</v>
      </c>
      <c r="C2" t="s">
        <v>198</v>
      </c>
      <c r="D2" s="30">
        <v>10000</v>
      </c>
      <c r="E2" s="30">
        <v>0</v>
      </c>
      <c r="F2" s="30">
        <v>10000</v>
      </c>
      <c r="G2" t="s">
        <v>199</v>
      </c>
      <c r="H2" t="s">
        <v>200</v>
      </c>
      <c r="I2" t="s">
        <v>201</v>
      </c>
    </row>
    <row r="3" spans="1:9" x14ac:dyDescent="0.3">
      <c r="A3" s="24">
        <v>46206</v>
      </c>
      <c r="B3" t="s">
        <v>202</v>
      </c>
      <c r="C3" t="s">
        <v>203</v>
      </c>
      <c r="D3" s="30">
        <v>2000</v>
      </c>
      <c r="E3" s="30">
        <v>1000</v>
      </c>
      <c r="F3" s="30">
        <v>1000</v>
      </c>
      <c r="G3" s="24">
        <v>46249</v>
      </c>
      <c r="H3" t="s">
        <v>200</v>
      </c>
      <c r="I3" t="s">
        <v>204</v>
      </c>
    </row>
    <row r="4" spans="1:9" x14ac:dyDescent="0.3">
      <c r="A4" s="24">
        <v>46208</v>
      </c>
      <c r="B4" t="s">
        <v>224</v>
      </c>
      <c r="C4" t="s">
        <v>203</v>
      </c>
      <c r="D4" s="30">
        <v>1000</v>
      </c>
      <c r="E4" s="30">
        <v>1000</v>
      </c>
      <c r="F4" s="30">
        <v>0</v>
      </c>
      <c r="G4" s="24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9">
        <v>46204</v>
      </c>
      <c r="B2" s="27" t="s">
        <v>127</v>
      </c>
      <c r="C2" s="27" t="s">
        <v>209</v>
      </c>
      <c r="D2" s="28">
        <v>22000</v>
      </c>
      <c r="E2" s="27" t="s">
        <v>210</v>
      </c>
      <c r="F2" s="27" t="s">
        <v>75</v>
      </c>
      <c r="G2" s="27" t="s">
        <v>211</v>
      </c>
    </row>
    <row r="3" spans="1:7" ht="28.8" x14ac:dyDescent="0.3">
      <c r="A3" s="29">
        <v>46218</v>
      </c>
      <c r="B3" s="27" t="s">
        <v>96</v>
      </c>
      <c r="C3" s="27" t="s">
        <v>212</v>
      </c>
      <c r="D3" s="28">
        <v>5000</v>
      </c>
      <c r="E3" s="27" t="s">
        <v>141</v>
      </c>
      <c r="F3" s="27" t="s">
        <v>76</v>
      </c>
      <c r="G3" s="27" t="s">
        <v>213</v>
      </c>
    </row>
    <row r="4" spans="1:7" ht="28.8" x14ac:dyDescent="0.3">
      <c r="A4" s="29">
        <v>46223</v>
      </c>
      <c r="B4" s="27" t="s">
        <v>214</v>
      </c>
      <c r="C4" s="27" t="s">
        <v>215</v>
      </c>
      <c r="D4" s="28">
        <v>2000</v>
      </c>
      <c r="E4" s="27" t="s">
        <v>210</v>
      </c>
      <c r="F4" s="27" t="s">
        <v>76</v>
      </c>
      <c r="G4" s="27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23">
        <v>8600</v>
      </c>
      <c r="J9" t="s">
        <v>114</v>
      </c>
    </row>
    <row r="10" spans="1:10" x14ac:dyDescent="0.3">
      <c r="A10" s="1" t="s">
        <v>86</v>
      </c>
      <c r="B10" s="23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2026-07-03T15:22:28Z</dcterms:modified>
</cp:coreProperties>
</file>