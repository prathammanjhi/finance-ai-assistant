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7ED00688-9096-4D04-A468-E24B7648A096}" xr6:coauthVersionLast="47" xr6:coauthVersionMax="47" xr10:uidLastSave="{00000000-0000-0000-0000-000000000000}"/>
  <bookViews>
    <workbookView xWindow="-108" yWindow="-108" windowWidth="23256" windowHeight="12456" tabRatio="855" firstSheet="5" activeTab="15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vestments" sheetId="17" r:id="rId10"/>
    <sheet name="Liabilities" sheetId="19" r:id="rId11"/>
    <sheet name="Assets" sheetId="18" r:id="rId12"/>
    <sheet name="Income engine" sheetId="6" r:id="rId13"/>
    <sheet name="Carrer Tracker" sheetId="7" r:id="rId14"/>
    <sheet name="Interview Prep" sheetId="8" r:id="rId15"/>
    <sheet name="Lists" sheetId="3" r:id="rId16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iabilityType">Lists!$I$15:$I$25</definedName>
    <definedName name="LoanCategory">Lists!$J$15:$J$25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<sst xmlns="http://schemas.openxmlformats.org/spreadsheetml/2006/main" count="408" uniqueCount="271">
  <si>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</si>
  <si>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</si>
  <si>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</si>
  <si>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</si>
  <si>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</si>
  <si>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</si>
  <si>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</si>
  <si>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</si>
  <si>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</si>
  <si>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</si>
  <si>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</si>
  <si>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</si>
  <si>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</si>
  <si>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</si>
  <si>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</si>
  <si>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</si>
  <si>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</si>
  <si>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</si>
  <si>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</si>
  <si>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</si>
  <si>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</si>
  <si>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</si>
  <si>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</si>
  <si>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</si>
  <si>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</si>
  <si>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</si>
  <si>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</si>
  <si>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</si>
  <si>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</si>
  <si>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</si>
  <si>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</si>
  <si>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</si>
  <si>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</si>
  <si>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</si>
  <si>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</si>
  <si>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</si>
  <si>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</si>
  <si>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</si>
  <si>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</si>
  <si>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</si>
  <si>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</si>
  <si>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</si>
  <si>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</si>
  <si>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</si>
  <si>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</si>
  <si>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</si>
  <si>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</si>
  <si>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</si>
  <si>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</si>
  <si>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</si>
  <si>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</si>
  <si>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</si>
  <si>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</si>
  <si>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</si>
  <si>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</si>
  <si>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</si>
  <si>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</si>
  <si>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</si>
  <si>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</si>
  <si>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</si>
  <si>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</si>
  <si>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</si>
  <si>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</si>
  <si>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</si>
  <si>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</si>
  <si>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</si>
  <si>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</si>
  <si>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</si>
  <si>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</si>
  <si>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</si>
  <si>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</si>
  <si>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</si>
  <si>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</si>
  <si>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</si>
  <si>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</si>
  <si>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</si>
  <si>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</si>
  <si>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</si>
  <si>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</si>
  <si>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</si>
  <si>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</si>
  <si>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</si>
  <si>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</si>
  <si>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</si>
  <si>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</si>
  <si>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</si>
  <si>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</si>
  <si>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</si>
  <si>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</si>
  <si>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</si>
  <si>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</si>
  <si>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</si>
  <si>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</si>
  <si>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</si>
  <si>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</si>
  <si>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</si>
  <si>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</si>
  <si>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</si>
  <si>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</si>
  <si>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</si>
  <si>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</si>
  <si>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</si>
  <si>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</si>
  <si>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</si>
  <si>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</si>
  <si>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</si>
  <si>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</si>
  <si>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</si>
  <si>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</si>
  <si>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</si>
  <si>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</si>
  <si>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</si>
  <si>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</si>
  <si>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</si>
  <si>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</si>
  <si>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</si>
  <si>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</si>
  <si>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</si>
  <si>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</si>
  <si>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</si>
  <si>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</si>
  <si>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</si>
  <si>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</si>
  <si>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</si>
  <si>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</si>
  <si>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</si>
  <si>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</si>
  <si>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</si>
  <si>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</si>
  <si>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</si>
  <si>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</si>
  <si>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</si>
  <si>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</si>
  <si>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</si>
  <si>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</si>
  <si>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</si>
  <si>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</si>
  <si>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</si>
  <si>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</si>
  <si>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</si>
  <si>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</si>
  <si>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</si>
  <si>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</si>
  <si>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</si>
  <si>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</si>
  <si>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</si>
  <si>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</si>
  <si>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</si>
  <si>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</si>
  <si>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</si>
  <si>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</si>
  <si>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</si>
  <si>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</si>
  <si>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</si>
  <si>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</si>
  <si>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</si>
  <si>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</si>
  <si>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</si>
  <si>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</si>
  <si>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</si>
  <si>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</si>
  <si>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</si>
  <si>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</si>
  <si>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</si>
  <si>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</si>
  <si>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</si>
  <si>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</si>
  <si>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</si>
  <si>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</si>
  <si>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</si>
  <si>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</si>
  <si>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</si>
  <si>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</si>
  <si>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</si>
  <si>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</si>
  <si>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</si>
  <si>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</si>
  <si>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</si>
  <si>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</si>
  <si>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</si>
  <si>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</si>
  <si>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</si>
  <si>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</si>
  <si>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</si>
  <si>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</si>
  <si>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</si>
  <si>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</si>
  <si>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</si>
  <si>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</si>
  <si>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</si>
  <si>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</si>
  <si>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</si>
  <si>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</si>
  <si>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</si>
  <si>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</si>
  <si>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</si>
  <si>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</si>
  <si>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</si>
  <si>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</si>
  <si>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</si>
  <si>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</si>
  <si>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</si>
  <si>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</si>
  <si>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</si>
  <si>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</si>
  <si>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</si>
  <si>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</si>
  <si>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</si>
  <si>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</si>
  <si>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</si>
  <si>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</si>
  <si>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</si>
  <si>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</si>
  <si>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</si>
  <si>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</si>
  <si>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</si>
  <si>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</si>
  <si>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</si>
  <si>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</si>
  <si>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rapido</t>
  </si>
  <si>
    <t>breakfast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</si>
  <si>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</si>
  <si>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</si>
  <si>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</si>
  <si>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</si>
  <si>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</si>
  <si>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</si>
  <si>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</si>
  <si>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</si>
  <si>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Bajaj (Chacha Ji)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</si>
  <si>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</si>
  <si>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</si>
  <si>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</si>
  <si>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</si>
  <si>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</si>
  <si>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</si>
  <si>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</si>
  <si>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Business Capital</t>
  </si>
  <si>
    <t>Bike</t>
  </si>
  <si>
    <t>Purchase</t>
  </si>
  <si>
    <t>Low</t>
  </si>
  <si>
    <t>Completed</t>
  </si>
  <si>
    <t>Paused</t>
  </si>
  <si>
    <t>Cancelled</t>
  </si>
  <si>
    <t>Purchase Date</t>
  </si>
  <si>
    <t>Platform</t>
  </si>
  <si>
    <t>Invested Amount</t>
  </si>
  <si>
    <t>Current Value</t>
  </si>
  <si>
    <t>Units</t>
  </si>
  <si>
    <t>Return</t>
  </si>
  <si>
    <t>Asset</t>
  </si>
  <si>
    <t>Purchase Value</t>
  </si>
  <si>
    <t>Electronics</t>
  </si>
  <si>
    <t>Vehicle</t>
  </si>
  <si>
    <t>Liability</t>
  </si>
  <si>
    <t>Original Loan</t>
  </si>
  <si>
    <t>Outstanding Balance</t>
  </si>
  <si>
    <t>Monthly EMI</t>
  </si>
  <si>
    <t>Intrest %</t>
  </si>
  <si>
    <t>Consumer Loan</t>
  </si>
  <si>
    <t>ICICI Credit Card</t>
  </si>
  <si>
    <t>SBI Home Loan</t>
  </si>
  <si>
    <t>Home Loan</t>
  </si>
  <si>
    <t>Car Loan</t>
  </si>
  <si>
    <t>Vehicle Loan</t>
  </si>
  <si>
    <t>Education Loan</t>
  </si>
  <si>
    <t>Business Loan</t>
  </si>
  <si>
    <t>Personal Loan</t>
  </si>
  <si>
    <t>Gold Loan</t>
  </si>
  <si>
    <t>BNPL</t>
  </si>
  <si>
    <t>Buy Now Pay Later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</si>
</sst>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9" formatCode="dd/mm/yyyy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9" formatCode="dd/mm/yyyy"/>
    </dxf>
    <dxf>
      <numFmt numFmtId="19" formatCode="dd/mm/yyyy"/>
    </dxf>
    <dxf>
      <numFmt numFmtId="2" formatCode="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31" tableBorderDxfId="30">
  <autoFilter ref="A1:H1048576" xr:uid="{42D67FA3-A40A-4607-BCB9-468A9ECB0007}"/>
  <tableColumns count="8">
    <tableColumn id="1" xr3:uid="{1D37F906-33D7-46E6-8270-56D5EEA80EC7}" name="Date" dataDxfId="29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28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27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6" totalsRowShown="0">
  <autoFilter ref="A1:K46" xr:uid="{1AFBBFA5-5EA2-4DA5-91C7-5EE90985F084}"/>
  <tableColumns count="11">
    <tableColumn id="1" xr3:uid="{C10697DD-F282-4D7F-A12A-9BFC6193DC4E}" name="Start Date " dataDxfId="26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25"/>
    <tableColumn id="5" xr3:uid="{C982624C-E448-4958-A5CE-7D794FC142FA}" name="Repaid" dataDxfId="24"/>
    <tableColumn id="6" xr3:uid="{665D5056-3744-4E56-95C7-F0943FD35707}" name="Remaining" dataDxfId="23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22"/>
    <tableColumn id="12" xr3:uid="{2EEE087F-37EF-44B3-8405-6F6CCBE4BDEB}" name="End Date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20" dataDxfId="19">
  <autoFilter ref="A1:G4" xr:uid="{7C5D4057-F5F1-485E-AE6E-34A855BB81C8}"/>
  <tableColumns count="7">
    <tableColumn id="1" xr3:uid="{85417279-B333-4129-826F-4B13A464B0A1}" name="Date" dataDxfId="18"/>
    <tableColumn id="2" xr3:uid="{72151722-7F6E-43AF-AADF-05A0452D151E}" name="Source" dataDxfId="17"/>
    <tableColumn id="3" xr3:uid="{A9F1D760-964B-4BC4-876E-FE2B218C85B6}" name="Category" dataDxfId="16"/>
    <tableColumn id="4" xr3:uid="{31C0BCAE-AC93-4345-9B1C-546CE0735A6B}" name="Amount" dataDxfId="15"/>
    <tableColumn id="5" xr3:uid="{C6E99480-C881-404B-8F25-E2549BD2CCCD}" name="Status" dataDxfId="14"/>
    <tableColumn id="7" xr3:uid="{29AC2CCC-8D50-4D4F-9049-D5CBB08CDAB6}" name="Recurring" dataDxfId="13"/>
    <tableColumn id="6" xr3:uid="{4D5A0A55-4298-4332-9A93-683CDAE35676}" name="Notes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11">
  <autoFilter ref="A1:H4" xr:uid="{ED3F2086-7429-4708-9751-1D0D42E41B00}"/>
  <tableColumns count="8">
    <tableColumn id="1" xr3:uid="{02A819B9-5B65-4731-BA10-C393EA3AE4AE}" name="Goal" dataDxfId="10"/>
    <tableColumn id="2" xr3:uid="{51D61835-0ABB-4183-9CDE-6E008A5BE534}" name="Type" dataDxfId="9"/>
    <tableColumn id="3" xr3:uid="{26F4B186-E946-48D7-9DD2-DA125EFEB650}" name="Target Amount" dataDxfId="8"/>
    <tableColumn id="4" xr3:uid="{B407A7D5-A3D5-4F1F-A0BE-CEC184447D2F}" name="Current Amount" dataDxfId="7"/>
    <tableColumn id="5" xr3:uid="{AC787662-7B98-4750-92E3-5F644C592A83}" name="Start Date" dataDxfId="6"/>
    <tableColumn id="6" xr3:uid="{219A44EC-76A4-456E-8296-B0D5D5DB8C37}" name="Target Date" dataDxfId="5"/>
    <tableColumn id="7" xr3:uid="{401F98C6-DE93-4917-B06B-A1F0D02774EE}" name="Priority" dataDxfId="4"/>
    <tableColumn id="8" xr3:uid="{AFB6C60C-D1A2-49E4-B330-36821968B1DD}" name="Status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348894-AB6B-47ED-8D66-B030107418E7}" name="Table7" displayName="Table7" ref="A1:J200" totalsRowShown="0">
  <autoFilter ref="A1:J200" xr:uid="{7E348894-AB6B-47ED-8D66-B030107418E7}"/>
  <tableColumns count="10">
    <tableColumn id="1" xr3:uid="{76E56D66-576D-4754-ADFE-436DD70011B2}" name="Date"/>
    <tableColumn id="2" xr3:uid="{AAAC6B22-EF0E-43D9-B017-EB668B0236DD}" name="Investment"/>
    <tableColumn id="3" xr3:uid="{CF097674-7777-4A04-A504-F67ED104098F}" name="Type"/>
    <tableColumn id="4" xr3:uid="{1C676C24-A4B4-439F-AF8F-F0507E28FD4D}" name="Platform"/>
    <tableColumn id="5" xr3:uid="{CA468ED8-AA61-447C-8470-4B90C0EC17EE}" name="Invested Amount"/>
    <tableColumn id="6" xr3:uid="{36BB9FF4-2216-457F-952A-3B1DD164A26A}" name="Current Value"/>
    <tableColumn id="7" xr3:uid="{C083E934-5CB3-41D8-9FAE-0480212E73D3}" name="Units"/>
    <tableColumn id="8" xr3:uid="{0DB5DA9B-107E-4E46-B79E-99AFD4D44BB7}" name="Return"/>
    <tableColumn id="9" xr3:uid="{5F434CC9-3372-48CB-B21E-E9D715DEC43F}" name="Status"/>
    <tableColumn id="10" xr3:uid="{436FBE32-C5B6-433F-96E4-875D891423A2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7B6D94-D8D0-4A5C-BE0A-8099B43D186B}" name="Table10" displayName="Table10" ref="A1:I70" totalsRowShown="0">
  <autoFilter ref="A1:I70" xr:uid="{4F7B6D94-D8D0-4A5C-BE0A-8099B43D186B}"/>
  <tableColumns count="9">
    <tableColumn id="1" xr3:uid="{1BF6EFB3-081D-479F-97D0-5D410AC21987}" name="Liability"/>
    <tableColumn id="9" xr3:uid="{0B74D237-DA90-49D5-A8A6-285DE9F93208}" name="Category"/>
    <tableColumn id="2" xr3:uid="{63AF3204-721F-4930-9003-E0E2451D091B}" name="Original Loan" dataDxfId="37"/>
    <tableColumn id="3" xr3:uid="{271A520E-175A-4E77-8ACA-00A70E60B367}" name="Outstanding Balance" dataDxfId="36"/>
    <tableColumn id="4" xr3:uid="{4AC64920-C6E6-4621-AC5A-DBB95F045FB6}" name="Monthly EMI" dataDxfId="35"/>
    <tableColumn id="5" xr3:uid="{EA313BB7-3226-4263-8B2A-D21A5A3EC593}" name="Intrest %" dataDxfId="34"/>
    <tableColumn id="6" xr3:uid="{E47C1A29-AD81-4EC2-9222-0D1F1C94F36D}" name="Start Date" dataDxfId="33"/>
    <tableColumn id="7" xr3:uid="{5A74DAD1-ED79-464B-A2CB-CFDC6117FC4F}" name="End Date" dataDxfId="32"/>
    <tableColumn id="8" xr3:uid="{6232A2AD-0FD7-4B56-A36F-A1E8D77D37A2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C8C911-DBF7-413D-A8D8-C9F208A9B6E1}" name="Table8" displayName="Table8" ref="A1:G200" totalsRowShown="0">
  <autoFilter ref="A1:G200" xr:uid="{E6C8C911-DBF7-413D-A8D8-C9F208A9B6E1}"/>
  <tableColumns count="7">
    <tableColumn id="1" xr3:uid="{E1888108-78C1-492E-82D0-DAB415C45FE0}" name="Asset"/>
    <tableColumn id="2" xr3:uid="{AC7352C6-0DC7-4AFC-BDAD-303C389924A5}" name="Category"/>
    <tableColumn id="3" xr3:uid="{9884F549-FF9E-426C-A41E-5854163D6493}" name="Purchase Value"/>
    <tableColumn id="4" xr3:uid="{486852BE-C51C-4E3A-9B66-11D7D9CCEE9B}" name="Current Value"/>
    <tableColumn id="5" xr3:uid="{2F141C2F-956F-436C-B98A-F15A4A0A762D}" name="Purchase Date" dataDxfId="2"/>
    <tableColumn id="6" xr3:uid="{ED74E306-AFE5-436F-911F-2ED2CC19D23C}" name="Status"/>
    <tableColumn id="7" xr3:uid="{93FAD5D9-55A0-4F40-A483-B99C6367CC93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4" t="s">
        <v>0</v>
      </c>
      <c r="B1" s="34"/>
      <c r="C1" s="34"/>
      <c r="D1" s="34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217</v>
      </c>
      <c r="E2" s="23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219</v>
      </c>
      <c r="E3" s="24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219</v>
      </c>
      <c r="E4" s="23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220</v>
      </c>
      <c r="E5" s="24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3"/>
      <c r="F6" s="11"/>
      <c r="G6" s="11"/>
      <c r="H6" s="11"/>
    </row>
    <row r="7" spans="1:8" x14ac:dyDescent="0.3">
      <c r="A7" s="12"/>
      <c r="B7" s="13"/>
      <c r="C7" s="13"/>
      <c r="D7" s="13"/>
      <c r="E7" s="24"/>
      <c r="F7" s="13"/>
      <c r="G7" s="13"/>
      <c r="H7" s="13"/>
    </row>
    <row r="8" spans="1:8" x14ac:dyDescent="0.3">
      <c r="A8" s="10"/>
      <c r="B8" s="11"/>
      <c r="C8" s="11"/>
      <c r="D8" s="11"/>
      <c r="E8" s="23"/>
      <c r="F8" s="11"/>
      <c r="G8" s="11"/>
      <c r="H8" s="11"/>
    </row>
    <row r="9" spans="1:8" x14ac:dyDescent="0.3">
      <c r="A9" s="12"/>
      <c r="B9" s="13"/>
      <c r="C9" s="13"/>
      <c r="D9" s="13"/>
      <c r="E9" s="24"/>
      <c r="F9" s="13"/>
      <c r="G9" s="13"/>
      <c r="H9" s="13"/>
    </row>
    <row r="10" spans="1:8" x14ac:dyDescent="0.3">
      <c r="A10" s="10"/>
      <c r="B10" s="11"/>
      <c r="C10" s="11"/>
      <c r="D10" s="11"/>
      <c r="E10" s="23"/>
      <c r="F10" s="11"/>
      <c r="G10" s="11"/>
      <c r="H10" s="11"/>
    </row>
    <row r="11" spans="1:8" x14ac:dyDescent="0.3">
      <c r="A11" s="12"/>
      <c r="B11" s="13"/>
      <c r="C11" s="13"/>
      <c r="D11" s="13"/>
      <c r="E11" s="24"/>
      <c r="F11" s="13"/>
      <c r="G11" s="13"/>
      <c r="H11" s="13"/>
    </row>
    <row r="12" spans="1:8" x14ac:dyDescent="0.3">
      <c r="A12" s="10"/>
      <c r="B12" s="11"/>
      <c r="C12" s="11"/>
      <c r="D12" s="11"/>
      <c r="E12" s="23"/>
      <c r="F12" s="11"/>
      <c r="G12" s="11"/>
      <c r="H12" s="11"/>
    </row>
    <row r="13" spans="1:8" x14ac:dyDescent="0.3">
      <c r="A13" s="12"/>
      <c r="B13" s="13"/>
      <c r="C13" s="13"/>
      <c r="D13" s="13"/>
      <c r="E13" s="24"/>
      <c r="F13" s="13"/>
      <c r="G13" s="13"/>
      <c r="H13" s="13"/>
    </row>
    <row r="14" spans="1:8" x14ac:dyDescent="0.3">
      <c r="A14" s="10"/>
      <c r="B14" s="11"/>
      <c r="C14" s="11"/>
      <c r="D14" s="11"/>
      <c r="E14" s="23"/>
      <c r="F14" s="11"/>
      <c r="G14" s="11"/>
      <c r="H14" s="11"/>
    </row>
    <row r="15" spans="1:8" x14ac:dyDescent="0.3">
      <c r="A15" s="12"/>
      <c r="B15" s="13"/>
      <c r="C15" s="13"/>
      <c r="D15" s="13"/>
      <c r="E15" s="24"/>
      <c r="F15" s="13"/>
      <c r="G15" s="13"/>
      <c r="H15" s="13"/>
    </row>
    <row r="16" spans="1:8" x14ac:dyDescent="0.3">
      <c r="A16" s="10"/>
      <c r="B16" s="11"/>
      <c r="C16" s="11"/>
      <c r="D16" s="11"/>
      <c r="E16" s="23"/>
      <c r="F16" s="11"/>
      <c r="G16" s="11"/>
      <c r="H16" s="11"/>
    </row>
    <row r="17" spans="1:8" x14ac:dyDescent="0.3">
      <c r="A17" s="12"/>
      <c r="B17" s="13"/>
      <c r="C17" s="13"/>
      <c r="D17" s="13"/>
      <c r="E17" s="24"/>
      <c r="F17" s="13"/>
      <c r="G17" s="13"/>
      <c r="H17" s="13"/>
    </row>
    <row r="18" spans="1:8" x14ac:dyDescent="0.3">
      <c r="A18" s="10"/>
      <c r="B18" s="11"/>
      <c r="C18" s="11"/>
      <c r="D18" s="11"/>
      <c r="E18" s="23"/>
      <c r="F18" s="11"/>
      <c r="G18" s="11"/>
      <c r="H18" s="11"/>
    </row>
    <row r="19" spans="1:8" x14ac:dyDescent="0.3">
      <c r="A19" s="12"/>
      <c r="B19" s="13"/>
      <c r="C19" s="13"/>
      <c r="D19" s="13"/>
      <c r="E19" s="24"/>
      <c r="F19" s="13"/>
      <c r="G19" s="13"/>
      <c r="H19" s="13"/>
    </row>
    <row r="20" spans="1:8" x14ac:dyDescent="0.3">
      <c r="A20" s="10"/>
      <c r="B20" s="11"/>
      <c r="C20" s="11"/>
      <c r="D20" s="11"/>
      <c r="E20" s="23"/>
      <c r="F20" s="11"/>
      <c r="G20" s="11"/>
      <c r="H20" s="11"/>
    </row>
    <row r="21" spans="1:8" x14ac:dyDescent="0.3">
      <c r="A21" s="12"/>
      <c r="B21" s="13"/>
      <c r="C21" s="13"/>
      <c r="D21" s="13"/>
      <c r="E21" s="24"/>
      <c r="F21" s="13"/>
      <c r="G21" s="13"/>
      <c r="H21" s="13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221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2"/>
  <sheetViews>
    <sheetView workbookViewId="0">
      <selection activeCell="P13" sqref="P13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227</v>
      </c>
      <c r="B1" t="s">
        <v>192</v>
      </c>
      <c r="C1" t="s">
        <v>66</v>
      </c>
      <c r="D1" s="21" t="s">
        <v>225</v>
      </c>
      <c r="E1" s="21" t="s">
        <v>193</v>
      </c>
      <c r="F1" s="21" t="s">
        <v>194</v>
      </c>
      <c r="G1" t="s">
        <v>195</v>
      </c>
      <c r="H1" t="s">
        <v>130</v>
      </c>
      <c r="I1" t="s">
        <v>222</v>
      </c>
      <c r="J1" s="21" t="s">
        <v>226</v>
      </c>
      <c r="K1" s="28" t="s">
        <v>228</v>
      </c>
    </row>
    <row r="2" spans="1:11" x14ac:dyDescent="0.3">
      <c r="A2" s="28">
        <v>46197</v>
      </c>
      <c r="B2" t="s">
        <v>229</v>
      </c>
      <c r="C2" t="s">
        <v>6</v>
      </c>
      <c r="D2" s="21">
        <v>86000</v>
      </c>
      <c r="E2" s="21">
        <v>0</v>
      </c>
      <c r="F2" s="21">
        <v>86000</v>
      </c>
      <c r="G2" s="28">
        <v>46235</v>
      </c>
      <c r="H2" t="s">
        <v>197</v>
      </c>
      <c r="I2" t="s">
        <v>230</v>
      </c>
      <c r="J2" s="21">
        <v>8600</v>
      </c>
      <c r="K2" s="28">
        <v>46447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201</v>
      </c>
      <c r="B27" s="16">
        <f>SUM(FinancialCommitments[Remaining])</f>
        <v>86000</v>
      </c>
    </row>
    <row r="29" spans="1:2" x14ac:dyDescent="0.3">
      <c r="A29" t="s">
        <v>202</v>
      </c>
      <c r="B29" s="17">
        <f>1-(SUM(FinancialCommitments[Remaining])/SUM(FinancialCommitments[Total Amount]))</f>
        <v>0</v>
      </c>
    </row>
    <row r="31" spans="1:2" x14ac:dyDescent="0.3">
      <c r="A31" t="s">
        <v>203</v>
      </c>
      <c r="B31" s="7">
        <f>B21-B27</f>
        <v>-64560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G17" sqref="G17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0">
        <v>46204</v>
      </c>
      <c r="B2" s="18" t="s">
        <v>127</v>
      </c>
      <c r="C2" s="18" t="s">
        <v>204</v>
      </c>
      <c r="D2" s="19">
        <v>22000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workbookViewId="0">
      <selection activeCell="F8" sqref="F8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231</v>
      </c>
      <c r="B1" s="29" t="s">
        <v>66</v>
      </c>
      <c r="C1" s="31" t="s">
        <v>232</v>
      </c>
      <c r="D1" s="31" t="s">
        <v>233</v>
      </c>
      <c r="E1" s="29" t="s">
        <v>234</v>
      </c>
      <c r="F1" s="29" t="s">
        <v>235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236</v>
      </c>
      <c r="C2" s="30">
        <v>100000</v>
      </c>
      <c r="D2" s="30">
        <v>14840</v>
      </c>
      <c r="E2" s="32">
        <v>46204</v>
      </c>
      <c r="F2" s="32">
        <v>46387</v>
      </c>
      <c r="G2" s="18" t="s">
        <v>98</v>
      </c>
      <c r="H2" s="18" t="s">
        <v>197</v>
      </c>
    </row>
    <row r="3" spans="1:8" ht="21" customHeight="1" x14ac:dyDescent="0.3">
      <c r="A3" s="18" t="s">
        <v>237</v>
      </c>
      <c r="B3" s="18" t="s">
        <v>71</v>
      </c>
      <c r="C3" s="30">
        <v>300000</v>
      </c>
      <c r="D3" s="30">
        <v>25000</v>
      </c>
      <c r="E3" s="32">
        <v>46204</v>
      </c>
      <c r="F3" s="32">
        <v>46568</v>
      </c>
      <c r="G3" s="18" t="s">
        <v>98</v>
      </c>
      <c r="H3" s="18" t="s">
        <v>197</v>
      </c>
    </row>
    <row r="4" spans="1:8" x14ac:dyDescent="0.3">
      <c r="A4" s="18" t="s">
        <v>238</v>
      </c>
      <c r="B4" s="18" t="s">
        <v>239</v>
      </c>
      <c r="C4" s="30">
        <v>200000</v>
      </c>
      <c r="D4" s="30">
        <v>10000</v>
      </c>
      <c r="E4" s="32">
        <v>46235</v>
      </c>
      <c r="F4" s="32">
        <v>46600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81:B1048576 B101:B180" xr:uid="{303291A6-40D6-47AA-ABAF-BD2736805EF3}">
      <formula1>"GoalType"</formula1>
    </dataValidation>
    <dataValidation type="list" allowBlank="1" showInputMessage="1" showErrorMessage="1" sqref="B2:B100" xr:uid="{26D7973C-A735-47BC-A2D4-37BDB88E3128}">
      <formula1>GoalType</formula1>
    </dataValidation>
    <dataValidation type="list" allowBlank="1" showInputMessage="1" showErrorMessage="1" sqref="G2:G100" xr:uid="{263111D5-5134-4C6A-8DD8-871BE3070266}">
      <formula1>Priority</formula1>
    </dataValidation>
    <dataValidation type="list" allowBlank="1" showInputMessage="1" showErrorMessage="1" sqref="H2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BF25-6B83-466D-AAB3-1C00FAFB6B75}">
  <dimension ref="A1:J1"/>
  <sheetViews>
    <sheetView workbookViewId="0">
      <selection activeCell="L10" sqref="L10"/>
    </sheetView>
  </sheetViews>
  <sheetFormatPr defaultRowHeight="14.4" x14ac:dyDescent="0.3"/>
  <cols>
    <col min="1" max="1" width="8.88671875" customWidth="1"/>
    <col min="2" max="2" width="12.21875" customWidth="1"/>
    <col min="4" max="4" width="10.109375" customWidth="1"/>
    <col min="5" max="5" width="16.77734375" customWidth="1"/>
    <col min="6" max="6" width="14.109375" customWidth="1"/>
  </cols>
  <sheetData>
    <row r="1" spans="1:10" x14ac:dyDescent="0.3">
      <c r="A1" t="s">
        <v>27</v>
      </c>
      <c r="B1" t="s">
        <v>69</v>
      </c>
      <c r="C1" t="s">
        <v>66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130</v>
      </c>
      <c r="J1" t="s">
        <v>57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EA01-1253-4E00-BFB7-DF8A0096DD60}">
  <dimension ref="A1:I2"/>
  <sheetViews>
    <sheetView workbookViewId="0">
      <selection activeCell="B2" sqref="B2"/>
    </sheetView>
  </sheetViews>
  <sheetFormatPr defaultRowHeight="14.4" x14ac:dyDescent="0.3"/>
  <cols>
    <col min="1" max="2" width="9.6640625" customWidth="1"/>
    <col min="3" max="3" width="13.6640625" style="21" customWidth="1"/>
    <col min="4" max="4" width="20" style="21" customWidth="1"/>
    <col min="5" max="5" width="16.109375" style="21" customWidth="1"/>
    <col min="6" max="6" width="10.21875" style="33" customWidth="1"/>
    <col min="7" max="7" width="11.21875" style="28" customWidth="1"/>
    <col min="8" max="8" width="10.33203125" style="28" customWidth="1"/>
  </cols>
  <sheetData>
    <row r="1" spans="1:9" x14ac:dyDescent="0.3">
      <c r="A1" t="s">
        <v>254</v>
      </c>
      <c r="B1" t="s">
        <v>24</v>
      </c>
      <c r="C1" s="21" t="s">
        <v>255</v>
      </c>
      <c r="D1" s="21" t="s">
        <v>256</v>
      </c>
      <c r="E1" s="21" t="s">
        <v>257</v>
      </c>
      <c r="F1" s="33" t="s">
        <v>258</v>
      </c>
      <c r="G1" s="28" t="s">
        <v>234</v>
      </c>
      <c r="H1" s="28" t="s">
        <v>228</v>
      </c>
      <c r="I1" t="s">
        <v>130</v>
      </c>
    </row>
    <row r="2" spans="1:9" x14ac:dyDescent="0.3">
      <c r="A2" t="s">
        <v>230</v>
      </c>
      <c r="B2" t="s">
        <v>259</v>
      </c>
      <c r="C2" s="21">
        <v>86000</v>
      </c>
      <c r="D2" s="21">
        <v>86000</v>
      </c>
      <c r="E2" s="21">
        <v>8600</v>
      </c>
      <c r="F2" s="33">
        <v>0</v>
      </c>
      <c r="G2" s="28">
        <v>46235</v>
      </c>
      <c r="H2" s="28">
        <v>46508</v>
      </c>
      <c r="I2" t="s">
        <v>197</v>
      </c>
    </row>
  </sheetData>
  <dataValidations count="2">
    <dataValidation type="list" allowBlank="1" showInputMessage="1" showErrorMessage="1" sqref="B2:B70" xr:uid="{444B1917-D7F7-4818-80C8-8F4A52ACFF72}">
      <formula1>LoanCategory</formula1>
    </dataValidation>
    <dataValidation type="list" allowBlank="1" showInputMessage="1" showErrorMessage="1" sqref="A2:A70" xr:uid="{FFDD0255-25A1-4F8C-982E-98131995D194}">
      <formula1>LiabilityType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347A-E68F-44B6-B63F-C92671AA0A69}">
  <dimension ref="A1:G4"/>
  <sheetViews>
    <sheetView workbookViewId="0">
      <selection activeCell="K9" sqref="K9"/>
    </sheetView>
  </sheetViews>
  <sheetFormatPr defaultRowHeight="14.4" x14ac:dyDescent="0.3"/>
  <cols>
    <col min="1" max="1" width="19" customWidth="1"/>
    <col min="2" max="2" width="10.21875" customWidth="1"/>
    <col min="3" max="3" width="15.5546875" customWidth="1"/>
    <col min="4" max="4" width="14.109375" customWidth="1"/>
    <col min="5" max="5" width="14.77734375" style="28" customWidth="1"/>
  </cols>
  <sheetData>
    <row r="1" spans="1:7" x14ac:dyDescent="0.3">
      <c r="A1" t="s">
        <v>250</v>
      </c>
      <c r="B1" t="s">
        <v>24</v>
      </c>
      <c r="C1" t="s">
        <v>251</v>
      </c>
      <c r="D1" t="s">
        <v>247</v>
      </c>
      <c r="E1" s="28" t="s">
        <v>244</v>
      </c>
      <c r="F1" t="s">
        <v>130</v>
      </c>
      <c r="G1" t="s">
        <v>57</v>
      </c>
    </row>
    <row r="2" spans="1:7" x14ac:dyDescent="0.3">
      <c r="A2" s="18" t="s">
        <v>83</v>
      </c>
      <c r="B2" s="18" t="s">
        <v>252</v>
      </c>
      <c r="C2" s="18">
        <v>86000</v>
      </c>
      <c r="D2" s="18">
        <v>80000</v>
      </c>
      <c r="E2" s="32">
        <v>46197</v>
      </c>
      <c r="F2" t="s">
        <v>197</v>
      </c>
    </row>
    <row r="3" spans="1:7" x14ac:dyDescent="0.3">
      <c r="A3" s="18" t="s">
        <v>238</v>
      </c>
      <c r="B3" s="18" t="s">
        <v>253</v>
      </c>
      <c r="C3" s="18">
        <v>90000</v>
      </c>
      <c r="D3" s="18">
        <v>70000</v>
      </c>
      <c r="E3" s="32">
        <v>46174</v>
      </c>
      <c r="F3" t="s">
        <v>197</v>
      </c>
    </row>
    <row r="4" spans="1:7" ht="14.4" customHeight="1" x14ac:dyDescent="0.3">
      <c r="A4" s="18" t="s">
        <v>86</v>
      </c>
      <c r="B4" s="18" t="s">
        <v>62</v>
      </c>
      <c r="C4" s="18">
        <v>14840</v>
      </c>
      <c r="D4" s="18">
        <v>14840</v>
      </c>
      <c r="E4" s="32">
        <v>46220</v>
      </c>
      <c r="F4" t="s">
        <v>197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5"/>
  <sheetViews>
    <sheetView tabSelected="1" topLeftCell="A10" workbookViewId="0">
      <selection activeCell="M23" sqref="L23:M24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218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236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239</v>
      </c>
      <c r="F11" t="s">
        <v>99</v>
      </c>
      <c r="G11" t="s">
        <v>241</v>
      </c>
    </row>
    <row r="12" spans="1:17" x14ac:dyDescent="0.3">
      <c r="A12" t="s">
        <v>73</v>
      </c>
      <c r="C12" t="s">
        <v>214</v>
      </c>
      <c r="E12" t="s">
        <v>71</v>
      </c>
      <c r="F12" t="s">
        <v>240</v>
      </c>
      <c r="G12" t="s">
        <v>242</v>
      </c>
    </row>
    <row r="13" spans="1:17" x14ac:dyDescent="0.3">
      <c r="A13" t="s">
        <v>69</v>
      </c>
      <c r="C13" t="s">
        <v>215</v>
      </c>
      <c r="E13" t="s">
        <v>69</v>
      </c>
      <c r="G13" t="s">
        <v>243</v>
      </c>
    </row>
    <row r="14" spans="1:17" x14ac:dyDescent="0.3">
      <c r="A14" t="s">
        <v>74</v>
      </c>
      <c r="C14" t="s">
        <v>210</v>
      </c>
      <c r="E14" t="s">
        <v>32</v>
      </c>
    </row>
    <row r="15" spans="1:17" ht="28.8" x14ac:dyDescent="0.3">
      <c r="A15" t="s">
        <v>34</v>
      </c>
      <c r="C15" t="s">
        <v>216</v>
      </c>
      <c r="E15" t="s">
        <v>9</v>
      </c>
      <c r="I15" s="18" t="s">
        <v>230</v>
      </c>
      <c r="J15" s="18" t="s">
        <v>259</v>
      </c>
    </row>
    <row r="16" spans="1:17" ht="43.2" x14ac:dyDescent="0.3">
      <c r="C16" t="s">
        <v>34</v>
      </c>
      <c r="E16" t="s">
        <v>34</v>
      </c>
      <c r="I16" s="18" t="s">
        <v>260</v>
      </c>
      <c r="J16" s="18" t="s">
        <v>200</v>
      </c>
    </row>
    <row r="17" spans="1:10" ht="28.8" x14ac:dyDescent="0.3">
      <c r="I17" s="18" t="s">
        <v>261</v>
      </c>
      <c r="J17" s="18" t="s">
        <v>262</v>
      </c>
    </row>
    <row r="18" spans="1:10" ht="28.8" x14ac:dyDescent="0.3">
      <c r="A18" t="s">
        <v>196</v>
      </c>
      <c r="I18" s="18" t="s">
        <v>263</v>
      </c>
      <c r="J18" s="18" t="s">
        <v>264</v>
      </c>
    </row>
    <row r="19" spans="1:10" ht="28.8" x14ac:dyDescent="0.3">
      <c r="A19" t="s">
        <v>199</v>
      </c>
      <c r="I19" s="18" t="s">
        <v>265</v>
      </c>
      <c r="J19" s="18" t="s">
        <v>265</v>
      </c>
    </row>
    <row r="20" spans="1:10" ht="28.8" x14ac:dyDescent="0.3">
      <c r="A20" t="s">
        <v>200</v>
      </c>
      <c r="I20" s="18" t="s">
        <v>266</v>
      </c>
      <c r="J20" s="18" t="s">
        <v>266</v>
      </c>
    </row>
    <row r="21" spans="1:10" ht="28.8" x14ac:dyDescent="0.3">
      <c r="A21" t="s">
        <v>6</v>
      </c>
      <c r="I21" s="18" t="s">
        <v>267</v>
      </c>
      <c r="J21" s="18" t="s">
        <v>267</v>
      </c>
    </row>
    <row r="22" spans="1:10" ht="28.8" x14ac:dyDescent="0.3">
      <c r="A22" t="s">
        <v>223</v>
      </c>
      <c r="I22" s="18" t="s">
        <v>268</v>
      </c>
      <c r="J22" s="18" t="s">
        <v>268</v>
      </c>
    </row>
    <row r="23" spans="1:10" ht="28.8" x14ac:dyDescent="0.3">
      <c r="A23" t="s">
        <v>224</v>
      </c>
      <c r="I23" s="18" t="s">
        <v>269</v>
      </c>
      <c r="J23" s="18" t="s">
        <v>270</v>
      </c>
    </row>
    <row r="24" spans="1:10" ht="28.8" x14ac:dyDescent="0.3">
      <c r="I24" s="18" t="s">
        <v>196</v>
      </c>
      <c r="J24" s="18" t="s">
        <v>196</v>
      </c>
    </row>
    <row r="25" spans="1:10" x14ac:dyDescent="0.3">
      <c r="I25" s="18" t="s">
        <v>34</v>
      </c>
      <c r="J25" s="1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18</vt:i4>
      </vt:variant>
    </vt:vector>
  </HeadingPairs>
  <TitlesOfParts>
    <vt:vector size="34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Investments</vt:lpstr>
      <vt:lpstr>Liabilities</vt:lpstr>
      <vt:lpstr>Assets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LiabilityType</vt:lpstr>
      <vt:lpstr>LoanCategory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2026-07-20T11:46:26Z</dcterms:modified>
</cp:coreProperties>
</file>